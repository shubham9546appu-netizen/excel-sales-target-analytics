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imelines/timeline1.xml" ContentType="application/vnd.ms-excel.timelin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pivotTables/pivotTable4.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9.xml" ContentType="application/vnd.openxmlformats-officedocument.spreadsheetml.pivotTable+xml"/>
  <Override PartName="/xl/drawings/drawing8.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2.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339BCAB903C835E7/Documents/"/>
    </mc:Choice>
  </mc:AlternateContent>
  <xr:revisionPtr revIDLastSave="180" documentId="8_{189A64D5-F3F8-4E04-94E6-90506177C644}" xr6:coauthVersionLast="47" xr6:coauthVersionMax="47" xr10:uidLastSave="{AC7674F3-5514-4088-8136-7A64CE2C1393}"/>
  <bookViews>
    <workbookView xWindow="-108" yWindow="-108" windowWidth="23256" windowHeight="12456" firstSheet="29" activeTab="35" xr2:uid="{A470605E-D43E-4BE3-AB6D-115471E2B565}"/>
  </bookViews>
  <sheets>
    <sheet name="Chapter 1 , 2" sheetId="1" r:id="rId1"/>
    <sheet name="Ch 1 , 2" sheetId="2" r:id="rId2"/>
    <sheet name="Remove Dublicate" sheetId="4" r:id="rId3"/>
    <sheet name="Removing Blank Rows" sheetId="5" r:id="rId4"/>
    <sheet name="Removing Space" sheetId="11" r:id="rId5"/>
    <sheet name="Change Case (Letter Fix)" sheetId="12" r:id="rId6"/>
    <sheet name="Removing Negative Value" sheetId="13" r:id="rId7"/>
    <sheet name="Split or Seprating Data" sheetId="14" r:id="rId8"/>
    <sheet name="Data Valadition" sheetId="15" r:id="rId9"/>
    <sheet name="Incentive Calculation" sheetId="16" r:id="rId10"/>
    <sheet name="Logic Function" sheetId="17" r:id="rId11"/>
    <sheet name="Shorting the Data" sheetId="18" r:id="rId12"/>
    <sheet name="Filter the Data" sheetId="19" r:id="rId13"/>
    <sheet name="Filter Formula And Sort" sheetId="20" r:id="rId14"/>
    <sheet name="V-Lookup" sheetId="21" r:id="rId15"/>
    <sheet name="Sheet1" sheetId="22" r:id="rId16"/>
    <sheet name="Vlookup2" sheetId="23" r:id="rId17"/>
    <sheet name="Vlookup With Match" sheetId="24" r:id="rId18"/>
    <sheet name="Match And Index Formula" sheetId="25" r:id="rId19"/>
    <sheet name="Statistical formulas" sheetId="26" r:id="rId20"/>
    <sheet name="Date formulas" sheetId="27" r:id="rId21"/>
    <sheet name="Use Of Datedif Formula" sheetId="28" r:id="rId22"/>
    <sheet name=" USES OF TEXT AND EOMONTH FORMU" sheetId="29" r:id="rId23"/>
    <sheet name="Use Of NETWORKDAYS.INTL Formula" sheetId="30" r:id="rId24"/>
    <sheet name="Pivot Table" sheetId="31" r:id="rId25"/>
    <sheet name="Time Line" sheetId="41" r:id="rId26"/>
    <sheet name="Sheet2" sheetId="42" r:id="rId27"/>
    <sheet name="Sheet4" sheetId="33" r:id="rId28"/>
    <sheet name="Clothing" sheetId="40" r:id="rId29"/>
    <sheet name="Electronics" sheetId="39" r:id="rId30"/>
    <sheet name="Furniture" sheetId="38" r:id="rId31"/>
    <sheet name="Groceries" sheetId="37" r:id="rId32"/>
    <sheet name="Stationery" sheetId="36" r:id="rId33"/>
    <sheet name="Adding Slicer" sheetId="35" r:id="rId34"/>
    <sheet name="DASHBOARD" sheetId="44" r:id="rId35"/>
    <sheet name="RAW DATA" sheetId="43" r:id="rId36"/>
  </sheets>
  <definedNames>
    <definedName name="_xlnm._FilterDatabase" localSheetId="13" hidden="1">'Filter Formula And Sort'!$B$40:$K$63</definedName>
    <definedName name="_xlnm._FilterDatabase" localSheetId="12" hidden="1">'Filter the Data'!$A$1:$H$22</definedName>
    <definedName name="_xlnm._FilterDatabase" localSheetId="11" hidden="1">'Shorting the Data'!$A$1:$H$25</definedName>
    <definedName name="emp_type">Vlookup2!$N$3:$O$9</definedName>
    <definedName name="NativeTimeline_Sale_Date">#N/A</definedName>
    <definedName name="Slicer_Region">#N/A</definedName>
    <definedName name="Slicer_State">#N/A</definedName>
  </definedNames>
  <calcPr calcId="191029"/>
  <pivotCaches>
    <pivotCache cacheId="0" r:id="rId37"/>
    <pivotCache cacheId="1" r:id="rId38"/>
  </pivotCaches>
  <extLst>
    <ext xmlns:x14="http://schemas.microsoft.com/office/spreadsheetml/2009/9/main" uri="{BBE1A952-AA13-448e-AADC-164F8A28A991}">
      <x14:slicerCaches>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22" l="1"/>
  <c r="L8" i="21"/>
  <c r="I8" i="21"/>
  <c r="B2" i="30"/>
  <c r="L13" i="29"/>
  <c r="L14" i="29"/>
  <c r="L15" i="29"/>
  <c r="L16" i="29"/>
  <c r="L12" i="29"/>
  <c r="K12" i="29"/>
  <c r="K13" i="29"/>
  <c r="K14" i="29"/>
  <c r="K15" i="29"/>
  <c r="K16" i="29"/>
  <c r="M8" i="29"/>
  <c r="K8" i="29"/>
  <c r="M7" i="29"/>
  <c r="K7" i="29"/>
  <c r="M6" i="29"/>
  <c r="N6" i="29" s="1"/>
  <c r="K6" i="29"/>
  <c r="M5" i="29"/>
  <c r="K5" i="29"/>
  <c r="M4" i="29"/>
  <c r="K4" i="29"/>
  <c r="N4" i="29" s="1"/>
  <c r="A2" i="29"/>
  <c r="B2" i="29" s="1"/>
  <c r="A3" i="29"/>
  <c r="B3" i="29" s="1"/>
  <c r="A4" i="29"/>
  <c r="B4" i="29" s="1"/>
  <c r="B52" i="28"/>
  <c r="B32" i="28"/>
  <c r="B64" i="28"/>
  <c r="B76" i="28"/>
  <c r="E2" i="28"/>
  <c r="H3" i="28"/>
  <c r="H4" i="28"/>
  <c r="H5" i="28"/>
  <c r="H6" i="28"/>
  <c r="H2" i="28"/>
  <c r="E3" i="28"/>
  <c r="E4" i="28"/>
  <c r="E5" i="28"/>
  <c r="E6" i="28"/>
  <c r="G3" i="28"/>
  <c r="G4" i="28"/>
  <c r="G5" i="28"/>
  <c r="G6" i="28"/>
  <c r="G2" i="28"/>
  <c r="F3" i="28"/>
  <c r="F4" i="28"/>
  <c r="F5" i="28"/>
  <c r="F6" i="28"/>
  <c r="F2" i="28"/>
  <c r="F2" i="27"/>
  <c r="F3" i="27"/>
  <c r="F4" i="27"/>
  <c r="F5" i="27"/>
  <c r="F6" i="27"/>
  <c r="E3" i="27"/>
  <c r="E4" i="27"/>
  <c r="E5" i="27"/>
  <c r="E6" i="27"/>
  <c r="E2" i="27"/>
  <c r="C3" i="27"/>
  <c r="C4" i="27"/>
  <c r="C5" i="27"/>
  <c r="C6" i="27"/>
  <c r="C2" i="27"/>
  <c r="A131" i="26" a="1"/>
  <c r="A131" i="26" s="1"/>
  <c r="A151" i="26" a="1"/>
  <c r="A151" i="26" s="1"/>
  <c r="A171" i="26" a="1"/>
  <c r="A171" i="26" s="1"/>
  <c r="M73" i="26"/>
  <c r="M74" i="26"/>
  <c r="N74" i="26"/>
  <c r="O74" i="26"/>
  <c r="M75" i="26"/>
  <c r="N75" i="26"/>
  <c r="O75" i="26"/>
  <c r="M76" i="26"/>
  <c r="N76" i="26"/>
  <c r="O76" i="26"/>
  <c r="M77" i="26"/>
  <c r="N77" i="26"/>
  <c r="O77" i="26"/>
  <c r="M78" i="26"/>
  <c r="N78" i="26"/>
  <c r="O78" i="26"/>
  <c r="M79" i="26"/>
  <c r="N79" i="26"/>
  <c r="O79" i="26"/>
  <c r="M80" i="26"/>
  <c r="N80" i="26"/>
  <c r="O80" i="26"/>
  <c r="M81" i="26"/>
  <c r="N81" i="26"/>
  <c r="O81" i="26"/>
  <c r="M82" i="26"/>
  <c r="N82" i="26"/>
  <c r="O82" i="26"/>
  <c r="N73" i="26"/>
  <c r="O73" i="26"/>
  <c r="M23" i="26"/>
  <c r="M24" i="26"/>
  <c r="M25" i="26"/>
  <c r="M4" i="26"/>
  <c r="M14" i="26"/>
  <c r="M15" i="26"/>
  <c r="N15" i="26"/>
  <c r="O15" i="26"/>
  <c r="P15" i="26"/>
  <c r="Q15" i="26"/>
  <c r="M16" i="26"/>
  <c r="N16" i="26"/>
  <c r="O16" i="26"/>
  <c r="P16" i="26"/>
  <c r="Q16" i="26"/>
  <c r="M17" i="26"/>
  <c r="N17" i="26"/>
  <c r="O17" i="26"/>
  <c r="P17" i="26"/>
  <c r="Q17" i="26"/>
  <c r="M18" i="26"/>
  <c r="N18" i="26"/>
  <c r="O18" i="26"/>
  <c r="P18" i="26"/>
  <c r="Q18" i="26"/>
  <c r="N14" i="26"/>
  <c r="O14" i="26"/>
  <c r="P14" i="26"/>
  <c r="Q14" i="26"/>
  <c r="M5" i="26"/>
  <c r="M6" i="26"/>
  <c r="M7" i="26"/>
  <c r="M8" i="26"/>
  <c r="D25" i="25"/>
  <c r="D24" i="25"/>
  <c r="I6" i="24"/>
  <c r="I7" i="24"/>
  <c r="F5" i="23"/>
  <c r="F6" i="23"/>
  <c r="F3" i="23"/>
  <c r="F4" i="23"/>
  <c r="F7" i="23"/>
  <c r="F8" i="23"/>
  <c r="F9" i="23"/>
  <c r="F10" i="23"/>
  <c r="F11" i="23"/>
  <c r="F12" i="23"/>
  <c r="F13" i="23"/>
  <c r="F2" i="23"/>
  <c r="I7" i="22"/>
  <c r="I5" i="22"/>
  <c r="I6" i="22"/>
  <c r="O4" i="22"/>
  <c r="I9" i="21"/>
  <c r="I10" i="21"/>
  <c r="I11" i="21"/>
  <c r="E53" i="1"/>
  <c r="Q41" i="20" a="1"/>
  <c r="Q41" i="20" s="1"/>
  <c r="P2" i="20" a="1"/>
  <c r="P2" i="20" s="1"/>
  <c r="E3" i="17"/>
  <c r="E4" i="17"/>
  <c r="E5" i="17"/>
  <c r="E6" i="17"/>
  <c r="E7" i="17"/>
  <c r="E8" i="17"/>
  <c r="E9" i="17"/>
  <c r="E10" i="17"/>
  <c r="E11" i="17"/>
  <c r="E12" i="17"/>
  <c r="E13" i="17"/>
  <c r="E2" i="17"/>
  <c r="D3" i="17"/>
  <c r="D4" i="17"/>
  <c r="D5" i="17"/>
  <c r="D6" i="17"/>
  <c r="D7" i="17"/>
  <c r="D8" i="17"/>
  <c r="D9" i="17"/>
  <c r="D10" i="17"/>
  <c r="D11" i="17"/>
  <c r="D12" i="17"/>
  <c r="D13" i="17"/>
  <c r="D2" i="17"/>
  <c r="E2" i="16"/>
  <c r="G3" i="16"/>
  <c r="G4" i="16"/>
  <c r="G5" i="16"/>
  <c r="G6" i="16"/>
  <c r="G7" i="16"/>
  <c r="G8" i="16"/>
  <c r="G9" i="16"/>
  <c r="G10" i="16"/>
  <c r="G11" i="16"/>
  <c r="G12" i="16"/>
  <c r="G13" i="16"/>
  <c r="G2" i="16"/>
  <c r="F3" i="16" a="1"/>
  <c r="F3" i="16"/>
  <c r="F4" i="16" a="1"/>
  <c r="F4" i="16"/>
  <c r="F5" i="16" a="1"/>
  <c r="F5" i="16"/>
  <c r="F6" i="16" a="1"/>
  <c r="F6" i="16"/>
  <c r="F7" i="16" a="1"/>
  <c r="F7" i="16"/>
  <c r="F8" i="16" a="1"/>
  <c r="F8" i="16"/>
  <c r="F9" i="16" a="1"/>
  <c r="F9" i="16"/>
  <c r="F10" i="16" a="1"/>
  <c r="F10" i="16"/>
  <c r="F11" i="16" a="1"/>
  <c r="F11" i="16"/>
  <c r="F12" i="16" a="1"/>
  <c r="F12" i="16"/>
  <c r="F13" i="16" a="1"/>
  <c r="F13" i="16"/>
  <c r="F2" i="16" a="1"/>
  <c r="F2" i="16" s="1"/>
  <c r="E3" i="16"/>
  <c r="E4" i="16"/>
  <c r="E5" i="16"/>
  <c r="E6" i="16"/>
  <c r="E7" i="16"/>
  <c r="E8" i="16"/>
  <c r="E9" i="16"/>
  <c r="E10" i="16"/>
  <c r="E11" i="16"/>
  <c r="E12" i="16"/>
  <c r="E13" i="16"/>
  <c r="I2" i="14"/>
  <c r="J3" i="14"/>
  <c r="J4" i="14"/>
  <c r="J5" i="14"/>
  <c r="J6" i="14"/>
  <c r="H2" i="14"/>
  <c r="J2" i="14"/>
  <c r="H3" i="14"/>
  <c r="H4" i="14"/>
  <c r="H5" i="14"/>
  <c r="H6" i="14"/>
  <c r="I3" i="14"/>
  <c r="I4" i="14"/>
  <c r="I5" i="14"/>
  <c r="I6" i="14"/>
  <c r="C2" i="12"/>
  <c r="E2" i="12" s="1"/>
  <c r="E3" i="12"/>
  <c r="E4" i="12"/>
  <c r="E5" i="12"/>
  <c r="E6" i="12"/>
  <c r="E7" i="12"/>
  <c r="E8" i="12"/>
  <c r="E9" i="12"/>
  <c r="E10" i="12"/>
  <c r="E11" i="12"/>
  <c r="E12" i="12"/>
  <c r="E13" i="12"/>
  <c r="E14" i="12"/>
  <c r="E15" i="12"/>
  <c r="E16" i="12"/>
  <c r="E17" i="12"/>
  <c r="E18" i="12"/>
  <c r="E19" i="12"/>
  <c r="E20" i="12"/>
  <c r="E21" i="12"/>
  <c r="E22" i="12"/>
  <c r="D3" i="12"/>
  <c r="D4" i="12"/>
  <c r="D5" i="12"/>
  <c r="D6" i="12"/>
  <c r="D7" i="12"/>
  <c r="D8" i="12"/>
  <c r="D9" i="12"/>
  <c r="D10" i="12"/>
  <c r="D11" i="12"/>
  <c r="D12" i="12"/>
  <c r="D13" i="12"/>
  <c r="D14" i="12"/>
  <c r="D15" i="12"/>
  <c r="D16" i="12"/>
  <c r="D17" i="12"/>
  <c r="D18" i="12"/>
  <c r="D19" i="12"/>
  <c r="D20" i="12"/>
  <c r="D21" i="12"/>
  <c r="D22" i="12"/>
  <c r="F2" i="13"/>
  <c r="F3" i="13"/>
  <c r="F4" i="13"/>
  <c r="F5" i="13"/>
  <c r="F6" i="13"/>
  <c r="F7" i="13"/>
  <c r="F8" i="13"/>
  <c r="F9" i="13"/>
  <c r="F10" i="13"/>
  <c r="F11" i="13"/>
  <c r="F12" i="13"/>
  <c r="F13" i="13"/>
  <c r="F14" i="13"/>
  <c r="F15" i="13"/>
  <c r="F16" i="13"/>
  <c r="F17" i="13"/>
  <c r="F18" i="13"/>
  <c r="F19" i="13"/>
  <c r="F20" i="13"/>
  <c r="F21" i="13"/>
  <c r="F22" i="13"/>
  <c r="W22" i="12"/>
  <c r="V22" i="12"/>
  <c r="U22" i="12"/>
  <c r="W21" i="12"/>
  <c r="V21" i="12"/>
  <c r="U21" i="12"/>
  <c r="W20" i="12"/>
  <c r="V20" i="12"/>
  <c r="U20" i="12"/>
  <c r="W19" i="12"/>
  <c r="V19" i="12"/>
  <c r="U19" i="12"/>
  <c r="W18" i="12"/>
  <c r="V18" i="12"/>
  <c r="U18" i="12"/>
  <c r="W17" i="12"/>
  <c r="V17" i="12"/>
  <c r="U17" i="12"/>
  <c r="W16" i="12"/>
  <c r="V16" i="12"/>
  <c r="U16" i="12"/>
  <c r="W15" i="12"/>
  <c r="V15" i="12"/>
  <c r="U15" i="12"/>
  <c r="W14" i="12"/>
  <c r="V14" i="12"/>
  <c r="U14" i="12"/>
  <c r="W13" i="12"/>
  <c r="V13" i="12"/>
  <c r="U13" i="12"/>
  <c r="W12" i="12"/>
  <c r="V12" i="12"/>
  <c r="U12" i="12"/>
  <c r="W11" i="12"/>
  <c r="V11" i="12"/>
  <c r="U11" i="12"/>
  <c r="W10" i="12"/>
  <c r="V10" i="12"/>
  <c r="U10" i="12"/>
  <c r="W9" i="12"/>
  <c r="V9" i="12"/>
  <c r="U9" i="12"/>
  <c r="W8" i="12"/>
  <c r="V8" i="12"/>
  <c r="U8" i="12"/>
  <c r="W7" i="12"/>
  <c r="V7" i="12"/>
  <c r="U7" i="12"/>
  <c r="W6" i="12"/>
  <c r="V6" i="12"/>
  <c r="U6" i="12"/>
  <c r="W5" i="12"/>
  <c r="V5" i="12"/>
  <c r="U5" i="12"/>
  <c r="W4" i="12"/>
  <c r="V4" i="12"/>
  <c r="U4" i="12"/>
  <c r="W3" i="12"/>
  <c r="V3" i="12"/>
  <c r="U3" i="12"/>
  <c r="W2" i="12"/>
  <c r="V2" i="12"/>
  <c r="U2" i="12"/>
  <c r="B44" i="11"/>
  <c r="C44" i="11"/>
  <c r="D44" i="11"/>
  <c r="B45" i="11"/>
  <c r="C45" i="11"/>
  <c r="D45" i="11"/>
  <c r="B46" i="11"/>
  <c r="E46" i="11" s="1"/>
  <c r="C46" i="11"/>
  <c r="D46" i="11"/>
  <c r="B47" i="11"/>
  <c r="E47" i="11" s="1"/>
  <c r="C47" i="11"/>
  <c r="D47" i="11"/>
  <c r="B48" i="11"/>
  <c r="C48" i="11"/>
  <c r="D48" i="11"/>
  <c r="B49" i="11"/>
  <c r="C49" i="11"/>
  <c r="D49" i="11"/>
  <c r="B50" i="11"/>
  <c r="C50" i="11"/>
  <c r="D50" i="11"/>
  <c r="B51" i="11"/>
  <c r="C51" i="11"/>
  <c r="D51" i="11"/>
  <c r="B52" i="11"/>
  <c r="C52" i="11"/>
  <c r="D52" i="11"/>
  <c r="B53" i="11"/>
  <c r="C53" i="11"/>
  <c r="D53" i="11"/>
  <c r="B54" i="11"/>
  <c r="E54" i="11" s="1"/>
  <c r="C54" i="11"/>
  <c r="D54" i="11"/>
  <c r="B55" i="11"/>
  <c r="E55" i="11" s="1"/>
  <c r="C55" i="11"/>
  <c r="D55" i="11"/>
  <c r="B56" i="11"/>
  <c r="C56" i="11"/>
  <c r="D56" i="11"/>
  <c r="B57" i="11"/>
  <c r="C57" i="11"/>
  <c r="D57" i="11"/>
  <c r="B58" i="11"/>
  <c r="E58" i="11" s="1"/>
  <c r="C58" i="11"/>
  <c r="D58" i="11"/>
  <c r="B59" i="11"/>
  <c r="E59" i="11" s="1"/>
  <c r="C59" i="11"/>
  <c r="D59" i="11"/>
  <c r="B60" i="11"/>
  <c r="C60" i="11"/>
  <c r="D60" i="11"/>
  <c r="B61" i="11"/>
  <c r="C61" i="11"/>
  <c r="D61" i="11"/>
  <c r="B62" i="11"/>
  <c r="C62" i="11"/>
  <c r="D62" i="11"/>
  <c r="B63" i="11"/>
  <c r="C63" i="11"/>
  <c r="D63" i="11"/>
  <c r="B64" i="11"/>
  <c r="C64" i="11"/>
  <c r="D64" i="11"/>
  <c r="E45" i="11"/>
  <c r="E48" i="11"/>
  <c r="E49" i="11"/>
  <c r="E50" i="11"/>
  <c r="E51" i="11"/>
  <c r="E52" i="11"/>
  <c r="E53" i="11"/>
  <c r="E56" i="11"/>
  <c r="E57" i="11"/>
  <c r="E60" i="11"/>
  <c r="E61" i="11"/>
  <c r="E62" i="11"/>
  <c r="E63" i="11"/>
  <c r="E64" i="11"/>
  <c r="E44" i="11"/>
  <c r="G33" i="11"/>
  <c r="F24" i="11"/>
  <c r="G24" i="11" s="1"/>
  <c r="F25" i="11"/>
  <c r="G25" i="11" s="1"/>
  <c r="F26" i="11"/>
  <c r="G26" i="11" s="1"/>
  <c r="F27" i="11"/>
  <c r="G27" i="11" s="1"/>
  <c r="F28" i="11"/>
  <c r="G28" i="11" s="1"/>
  <c r="F29" i="11"/>
  <c r="G29" i="11" s="1"/>
  <c r="F30" i="11"/>
  <c r="G30" i="11" s="1"/>
  <c r="F31" i="11"/>
  <c r="G31" i="11" s="1"/>
  <c r="F32" i="11"/>
  <c r="G32" i="11" s="1"/>
  <c r="F23" i="11"/>
  <c r="G23" i="11" s="1"/>
  <c r="H32" i="11"/>
  <c r="H31" i="11"/>
  <c r="H30" i="11"/>
  <c r="H29" i="11"/>
  <c r="H28" i="11"/>
  <c r="H26" i="11"/>
  <c r="H25" i="11"/>
  <c r="H24" i="11"/>
  <c r="H23" i="11"/>
  <c r="H3" i="11"/>
  <c r="H4" i="11"/>
  <c r="H5" i="11"/>
  <c r="H6" i="11"/>
  <c r="H7" i="11"/>
  <c r="H8" i="11"/>
  <c r="H9" i="11"/>
  <c r="H10" i="11"/>
  <c r="H11" i="11"/>
  <c r="H2" i="11"/>
  <c r="A2" i="2"/>
  <c r="B2" i="2"/>
  <c r="C2" i="2"/>
  <c r="D2" i="2"/>
  <c r="E2" i="2"/>
  <c r="B3" i="2"/>
  <c r="C3" i="2"/>
  <c r="D3" i="2"/>
  <c r="E3" i="2"/>
  <c r="B4" i="2"/>
  <c r="C4" i="2"/>
  <c r="D4" i="2"/>
  <c r="E4" i="2"/>
  <c r="B5" i="2"/>
  <c r="C5" i="2"/>
  <c r="D5" i="2"/>
  <c r="E5" i="2"/>
  <c r="B6" i="2"/>
  <c r="C6" i="2"/>
  <c r="D6" i="2"/>
  <c r="E6" i="2"/>
  <c r="B7" i="2"/>
  <c r="C7" i="2"/>
  <c r="D7" i="2"/>
  <c r="E7" i="2"/>
  <c r="B8" i="2"/>
  <c r="C8" i="2"/>
  <c r="D8" i="2"/>
  <c r="E8" i="2"/>
  <c r="B9" i="2"/>
  <c r="C9" i="2"/>
  <c r="D9" i="2"/>
  <c r="E9" i="2"/>
  <c r="B10" i="2"/>
  <c r="C10" i="2"/>
  <c r="D10" i="2"/>
  <c r="E10" i="2"/>
  <c r="A3" i="2"/>
  <c r="A4" i="2"/>
  <c r="A5" i="2"/>
  <c r="A6" i="2"/>
  <c r="A7" i="2"/>
  <c r="A8" i="2"/>
  <c r="A9" i="2"/>
  <c r="A10" i="2"/>
  <c r="N5" i="29" l="1"/>
  <c r="N7" i="29"/>
  <c r="N8" i="29"/>
  <c r="C13" i="25" a="1"/>
  <c r="C13" i="25" s="1"/>
  <c r="D2" i="12"/>
  <c r="J2" i="2"/>
  <c r="J9" i="2"/>
  <c r="J7" i="2"/>
  <c r="J3" i="2"/>
  <c r="J10" i="2"/>
  <c r="J6" i="2"/>
  <c r="J5" i="2"/>
  <c r="J4" i="2"/>
  <c r="J8" i="2"/>
  <c r="I9" i="2"/>
  <c r="I10" i="2"/>
  <c r="I6" i="2"/>
  <c r="I3" i="2"/>
  <c r="I7" i="2"/>
  <c r="I5" i="2"/>
  <c r="I4" i="2"/>
  <c r="I8" i="2"/>
  <c r="H9" i="2"/>
  <c r="I2" i="2"/>
  <c r="H7" i="2"/>
  <c r="H6" i="2"/>
  <c r="H5" i="2"/>
  <c r="H4" i="2"/>
  <c r="G3" i="2"/>
  <c r="H8" i="2"/>
  <c r="H10" i="2"/>
  <c r="H2" i="2"/>
  <c r="H3" i="2"/>
  <c r="G7" i="2"/>
  <c r="G9" i="2"/>
  <c r="G6" i="2"/>
  <c r="G5" i="2"/>
  <c r="G4" i="2"/>
  <c r="G8" i="2"/>
  <c r="G10" i="2"/>
  <c r="G2" i="2"/>
  <c r="F4" i="2"/>
  <c r="F5" i="2"/>
  <c r="F7" i="2"/>
  <c r="F9" i="2"/>
  <c r="F6" i="2"/>
  <c r="F3" i="2"/>
  <c r="F8" i="2"/>
  <c r="F10"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<sst xmlns="http://schemas.openxmlformats.org/spreadsheetml/2006/main" count="5623" uniqueCount="2521">
  <si>
    <t>Employee ID</t>
  </si>
  <si>
    <t>Name</t>
  </si>
  <si>
    <t>Department</t>
  </si>
  <si>
    <t>Salary</t>
  </si>
  <si>
    <t>Joining Date</t>
  </si>
  <si>
    <t>EMP001</t>
  </si>
  <si>
    <t>Employee_1</t>
  </si>
  <si>
    <t>Finance</t>
  </si>
  <si>
    <t>EMP002</t>
  </si>
  <si>
    <t>Employee_2</t>
  </si>
  <si>
    <t>Sales</t>
  </si>
  <si>
    <t>EMP003</t>
  </si>
  <si>
    <t>Employee_3</t>
  </si>
  <si>
    <t>Operations</t>
  </si>
  <si>
    <t>EMP004</t>
  </si>
  <si>
    <t>Employee_4</t>
  </si>
  <si>
    <t>IT</t>
  </si>
  <si>
    <t>EMP005</t>
  </si>
  <si>
    <t>Employee_5</t>
  </si>
  <si>
    <t>HR</t>
  </si>
  <si>
    <t>EMP006</t>
  </si>
  <si>
    <t>Employee_6</t>
  </si>
  <si>
    <t>EMP007</t>
  </si>
  <si>
    <t>Employee_7</t>
  </si>
  <si>
    <t>EMP008</t>
  </si>
  <si>
    <t>Employee_8</t>
  </si>
  <si>
    <t>EMP009</t>
  </si>
  <si>
    <t>Employee_9</t>
  </si>
  <si>
    <t>EMP010</t>
  </si>
  <si>
    <t>EMP011</t>
  </si>
  <si>
    <t>Employee_11</t>
  </si>
  <si>
    <t>EMP012</t>
  </si>
  <si>
    <t>Employee_12</t>
  </si>
  <si>
    <t>EMP013</t>
  </si>
  <si>
    <t>Employee_13</t>
  </si>
  <si>
    <t>EMP014</t>
  </si>
  <si>
    <t>Employee_14</t>
  </si>
  <si>
    <t>EMP015</t>
  </si>
  <si>
    <t>Employee_15</t>
  </si>
  <si>
    <t>EMP016</t>
  </si>
  <si>
    <t>Employee_16</t>
  </si>
  <si>
    <t>EMP017</t>
  </si>
  <si>
    <t>Employee_17</t>
  </si>
  <si>
    <t>EMP018</t>
  </si>
  <si>
    <t>Employee_18</t>
  </si>
  <si>
    <t>EMP019</t>
  </si>
  <si>
    <t>Employee_19</t>
  </si>
  <si>
    <t>EMP020</t>
  </si>
  <si>
    <t>Employee_20</t>
  </si>
  <si>
    <t>EMP021</t>
  </si>
  <si>
    <t>Employee_21</t>
  </si>
  <si>
    <t>EMP022</t>
  </si>
  <si>
    <t>Employee_22</t>
  </si>
  <si>
    <t>EMP023</t>
  </si>
  <si>
    <t>Employee_23</t>
  </si>
  <si>
    <t>EMP024</t>
  </si>
  <si>
    <t>Employee_24</t>
  </si>
  <si>
    <t>EMP025</t>
  </si>
  <si>
    <t>Employee_25</t>
  </si>
  <si>
    <t>EMP026</t>
  </si>
  <si>
    <t>Employee_26</t>
  </si>
  <si>
    <t>EMP027</t>
  </si>
  <si>
    <t>Employee_27</t>
  </si>
  <si>
    <t>EMP028</t>
  </si>
  <si>
    <t>Employee_28</t>
  </si>
  <si>
    <t>EMP029</t>
  </si>
  <si>
    <t>Employee_29</t>
  </si>
  <si>
    <t>EMP030</t>
  </si>
  <si>
    <t>Employee_30</t>
  </si>
  <si>
    <t>EMP031</t>
  </si>
  <si>
    <t>Employee_31</t>
  </si>
  <si>
    <t>EMP032</t>
  </si>
  <si>
    <t>Employee_32</t>
  </si>
  <si>
    <t>EMP033</t>
  </si>
  <si>
    <t>Employee_33</t>
  </si>
  <si>
    <t>EMP034</t>
  </si>
  <si>
    <t>Employee_34</t>
  </si>
  <si>
    <t>EMP035</t>
  </si>
  <si>
    <t>Employee_35</t>
  </si>
  <si>
    <t>EMP036</t>
  </si>
  <si>
    <t>Employee_36</t>
  </si>
  <si>
    <t>EMP037</t>
  </si>
  <si>
    <t>Employee_37</t>
  </si>
  <si>
    <t>EMP038</t>
  </si>
  <si>
    <t>Employee_38</t>
  </si>
  <si>
    <t>EMP039</t>
  </si>
  <si>
    <t>Employee_39</t>
  </si>
  <si>
    <t>EMP040</t>
  </si>
  <si>
    <t>Employee_40</t>
  </si>
  <si>
    <t>EMP041</t>
  </si>
  <si>
    <t>Employee_41</t>
  </si>
  <si>
    <t>EMP042</t>
  </si>
  <si>
    <t>Employee_42</t>
  </si>
  <si>
    <t>EMP043</t>
  </si>
  <si>
    <t>Employee_43</t>
  </si>
  <si>
    <t>EMP044</t>
  </si>
  <si>
    <t>Employee_44</t>
  </si>
  <si>
    <t>EMP045</t>
  </si>
  <si>
    <t>Employee_45</t>
  </si>
  <si>
    <t>EMP046</t>
  </si>
  <si>
    <t>Employee_46</t>
  </si>
  <si>
    <t>EMP047</t>
  </si>
  <si>
    <t>Employee_47</t>
  </si>
  <si>
    <t>EMP048</t>
  </si>
  <si>
    <t>Employee_48</t>
  </si>
  <si>
    <t>EMP049</t>
  </si>
  <si>
    <t>Employee_49</t>
  </si>
  <si>
    <t>EMP050</t>
  </si>
  <si>
    <t>Employee_50</t>
  </si>
  <si>
    <t>EMPLOYEE  DATA</t>
  </si>
  <si>
    <t>SUB1</t>
  </si>
  <si>
    <t>SUB2</t>
  </si>
  <si>
    <t>SUB3</t>
  </si>
  <si>
    <t>SUB4</t>
  </si>
  <si>
    <t>TOTAL</t>
  </si>
  <si>
    <t>SUB5</t>
  </si>
  <si>
    <t>MAX</t>
  </si>
  <si>
    <t>MIN</t>
  </si>
  <si>
    <t>AVERAGE</t>
  </si>
  <si>
    <t>COUNT</t>
  </si>
  <si>
    <t xml:space="preserve">    </t>
  </si>
  <si>
    <t xml:space="preserve">  </t>
  </si>
  <si>
    <t>Product_ID</t>
  </si>
  <si>
    <t>Product_Name</t>
  </si>
  <si>
    <t>Category</t>
  </si>
  <si>
    <t>Price</t>
  </si>
  <si>
    <t>Quantity_Available</t>
  </si>
  <si>
    <t>Rating</t>
  </si>
  <si>
    <t>Seller</t>
  </si>
  <si>
    <t>Apple iPhone 14</t>
  </si>
  <si>
    <t>Mobile</t>
  </si>
  <si>
    <t>Tech World</t>
  </si>
  <si>
    <t>Samsung Galaxy S23</t>
  </si>
  <si>
    <t>Gadget Hub</t>
  </si>
  <si>
    <t>Sony WH-1000XM5</t>
  </si>
  <si>
    <t>Headphones</t>
  </si>
  <si>
    <t>Sound Pro</t>
  </si>
  <si>
    <t>Dell XPS 13</t>
  </si>
  <si>
    <t>Laptop</t>
  </si>
  <si>
    <t>Laptop Store</t>
  </si>
  <si>
    <t>HP Spectre x360</t>
  </si>
  <si>
    <t>HP Store</t>
  </si>
  <si>
    <t>Bose QuietComfort 45</t>
  </si>
  <si>
    <t>Lenovo ThinkPad X1</t>
  </si>
  <si>
    <t>OnePlus 11</t>
  </si>
  <si>
    <t>Acer Swift 5</t>
  </si>
  <si>
    <t>Google Pixel 7</t>
  </si>
  <si>
    <t>JBL Tune 760NC</t>
  </si>
  <si>
    <t>Tablet</t>
  </si>
  <si>
    <t>ASUS ROG Phone 7</t>
  </si>
  <si>
    <t>Samsung Galaxy Tab S8</t>
  </si>
  <si>
    <t>Boat Rockerz 550</t>
  </si>
  <si>
    <t>iPad Air</t>
  </si>
  <si>
    <t>MacBook Air M2</t>
  </si>
  <si>
    <t>Sony WF-1000XM4</t>
  </si>
  <si>
    <t>Contact No</t>
  </si>
  <si>
    <t>Employee_10</t>
  </si>
  <si>
    <t>EMP101</t>
  </si>
  <si>
    <t>EMP102</t>
  </si>
  <si>
    <t>EMP103</t>
  </si>
  <si>
    <t>EMP104</t>
  </si>
  <si>
    <t>EMP106</t>
  </si>
  <si>
    <t>EMP107</t>
  </si>
  <si>
    <t>EMP108</t>
  </si>
  <si>
    <t>EMP109</t>
  </si>
  <si>
    <t>EMP111</t>
  </si>
  <si>
    <t>EMP112</t>
  </si>
  <si>
    <t>EMP113</t>
  </si>
  <si>
    <t>EMP114</t>
  </si>
  <si>
    <t>EMP116</t>
  </si>
  <si>
    <t>EMP117</t>
  </si>
  <si>
    <t>EMP118</t>
  </si>
  <si>
    <t>EMP119</t>
  </si>
  <si>
    <t xml:space="preserve">                         Data  With  Blank Rows</t>
  </si>
  <si>
    <t>Product Code</t>
  </si>
  <si>
    <t>Product Name</t>
  </si>
  <si>
    <t>Stock</t>
  </si>
  <si>
    <t>Product Description</t>
  </si>
  <si>
    <t>P0001</t>
  </si>
  <si>
    <t>Product_A</t>
  </si>
  <si>
    <t>Electronics</t>
  </si>
  <si>
    <t>Ensure consistent category naming (e.g., “Electronics” vs. “ElecTronics”).</t>
  </si>
  <si>
    <t>P0002</t>
  </si>
  <si>
    <t>Product_B</t>
  </si>
  <si>
    <t>FOOD</t>
  </si>
  <si>
    <t>Use data validation for price and stock to allow only numeric values.</t>
  </si>
  <si>
    <t>P0003</t>
  </si>
  <si>
    <t>Product_C</t>
  </si>
  <si>
    <t>Stationery</t>
  </si>
  <si>
    <t>Remove unnecessary columns before analysis to simplify processing.</t>
  </si>
  <si>
    <t>P0004</t>
  </si>
  <si>
    <t>Product_D</t>
  </si>
  <si>
    <t>Furniture</t>
  </si>
  <si>
    <t>Apply formatting rules to highlight invalid prices or stock values.</t>
  </si>
  <si>
    <t>P0005</t>
  </si>
  <si>
    <t>Product_E</t>
  </si>
  <si>
    <t>Clothing</t>
  </si>
  <si>
    <t>Flag negative stock as errors using conditional formatting.</t>
  </si>
  <si>
    <t>P0006</t>
  </si>
  <si>
    <t>Product_F</t>
  </si>
  <si>
    <t>Verify spelling in category fields to avoid grouping issues.</t>
  </si>
  <si>
    <t>P0007</t>
  </si>
  <si>
    <t>Product_G</t>
  </si>
  <si>
    <t>Add comments in cells with data issues for team collaboration.</t>
  </si>
  <si>
    <t>P0008</t>
  </si>
  <si>
    <t>Product_H</t>
  </si>
  <si>
    <t>Hide rarely used columns to focus on relevant data fields.</t>
  </si>
  <si>
    <t>P0009</t>
  </si>
  <si>
    <t>Product_I</t>
  </si>
  <si>
    <t>Use filters or slicers to isolate outliers and invalid entries easily.</t>
  </si>
  <si>
    <t>P0010</t>
  </si>
  <si>
    <t>Product_J</t>
  </si>
  <si>
    <t>Validate product name formatting for consistency across rows.</t>
  </si>
  <si>
    <t>DATA WITHOUT DUPLICATE VALUES  (Table - 1)</t>
  </si>
  <si>
    <t>DATA WITH DUBLICATE VALUES (Table -2)</t>
  </si>
  <si>
    <t>DATA WITH DUBLICATE VALUES (Table - 3)</t>
  </si>
  <si>
    <t>DATA WITHOUT DUPLICATE VALUES (Table - 4)</t>
  </si>
  <si>
    <t>HOW IT'S WORK</t>
  </si>
  <si>
    <t xml:space="preserve">Step 1 </t>
  </si>
  <si>
    <t>Arrange the data in which you find the dublicate data .</t>
  </si>
  <si>
    <t>Step 2</t>
  </si>
  <si>
    <t>Select all the data without heading which you are arranged .</t>
  </si>
  <si>
    <t xml:space="preserve">Step 3 </t>
  </si>
  <si>
    <t xml:space="preserve">Go to the data tab  and inside the data tab go to remove dublicate button </t>
  </si>
  <si>
    <t>nd select all the columns and press ok button .</t>
  </si>
  <si>
    <t>Step 4</t>
  </si>
  <si>
    <t>All the dublicate data is removed from your data which you are arranged .</t>
  </si>
  <si>
    <t>This is for (Table 1 and 2)</t>
  </si>
  <si>
    <t>For Table - 3</t>
  </si>
  <si>
    <t xml:space="preserve">As you can se eon </t>
  </si>
  <si>
    <t xml:space="preserve">see in table 3 it contains mobile number </t>
  </si>
  <si>
    <t xml:space="preserve">ber so for this you have to follow the same steps which is for table 1 and 2 but for table 3 you have only select the contact option and then press ok button all the dublicate contact is </t>
  </si>
  <si>
    <t xml:space="preserve">removed  for table 1 and 2 we select all the options </t>
  </si>
  <si>
    <t xml:space="preserve"> tions like name , departement , id  , contact </t>
  </si>
  <si>
    <t xml:space="preserve"> the data with heading .</t>
  </si>
  <si>
    <t>make sure when you are selecting the data you should also select the headings like name , id , contace , etc .</t>
  </si>
  <si>
    <t>Data Without Blank Rows</t>
  </si>
  <si>
    <t>How It's Happened  Follow These Steps-:</t>
  </si>
  <si>
    <t xml:space="preserve">Step - 1 </t>
  </si>
  <si>
    <t xml:space="preserve">Select all the data in which you have to remove the blank spaces make sure </t>
  </si>
  <si>
    <t>you will not select the heading .</t>
  </si>
  <si>
    <t>Step -2</t>
  </si>
  <si>
    <t xml:space="preserve">After selecting the data press ctrl+g in key board and theb a dialog box is apper </t>
  </si>
  <si>
    <t xml:space="preserve">select special button inside special button select blank option after selectin </t>
  </si>
  <si>
    <t>selecting</t>
  </si>
  <si>
    <t xml:space="preserve">blank option all the blank option in your data is selected automatically and </t>
  </si>
  <si>
    <t xml:space="preserve">then press ctrl+-  after perssing ctrl+- button all the blank rows which is </t>
  </si>
  <si>
    <t>inside your data is removed . Which you can see in table number 2 .</t>
  </si>
  <si>
    <t>Row(Table -1)</t>
  </si>
  <si>
    <t>s(Table - 2)</t>
  </si>
  <si>
    <t xml:space="preserve">tton a delete dialog box is appera and from this dialog box you select </t>
  </si>
  <si>
    <t>entire rows option and then press ok button</t>
  </si>
  <si>
    <t xml:space="preserve">after pressing ok button all the blank rows </t>
  </si>
  <si>
    <t>Length</t>
  </si>
  <si>
    <t xml:space="preserve">     Mobile</t>
  </si>
  <si>
    <t xml:space="preserve">   Mobile</t>
  </si>
  <si>
    <t xml:space="preserve">    Headphones</t>
  </si>
  <si>
    <t xml:space="preserve">   Laptop</t>
  </si>
  <si>
    <t xml:space="preserve">    Mobile</t>
  </si>
  <si>
    <t xml:space="preserve">      Laptop</t>
  </si>
  <si>
    <t>Table = 1</t>
  </si>
  <si>
    <t>Table - 2</t>
  </si>
  <si>
    <t>Removing Space</t>
  </si>
  <si>
    <t xml:space="preserve">Length With Space </t>
  </si>
  <si>
    <t>Length Without Space</t>
  </si>
  <si>
    <t xml:space="preserve">Make a column whose name is Removing Space , now in this column write the formula =trim(and select the text from which you want to remove the space ) </t>
  </si>
  <si>
    <t xml:space="preserve">and press enter button so for your first text space is removed </t>
  </si>
  <si>
    <t>ace is removed and for more text double tap in right corner in column Length Without Space it automatically  remove all the spaces from all the text .</t>
  </si>
  <si>
    <t>FOR REMOVING THE SPACE -:</t>
  </si>
  <si>
    <t>REMOVING UNBREAKABLE SPACE</t>
  </si>
  <si>
    <t>WH1881NL01 </t>
  </si>
  <si>
    <t>WH10017QM01 </t>
  </si>
  <si>
    <t>WH10017SL01 </t>
  </si>
  <si>
    <t>WH1043NM01 </t>
  </si>
  <si>
    <t>WH1043YL05 </t>
  </si>
  <si>
    <t>WH1043YM01 </t>
  </si>
  <si>
    <t>WH1044YM07 </t>
  </si>
  <si>
    <t>WH15952655WL01 </t>
  </si>
  <si>
    <t>WH1595NL01 </t>
  </si>
  <si>
    <t>WH1595NM01 </t>
  </si>
  <si>
    <t>WH1595SL03 </t>
  </si>
  <si>
    <t>WH1595SL05 </t>
  </si>
  <si>
    <t>WH1595SL06 </t>
  </si>
  <si>
    <t>WH1595WL01 </t>
  </si>
  <si>
    <t>WH1595WL09 </t>
  </si>
  <si>
    <t>WH1595WM01 </t>
  </si>
  <si>
    <t>WH1596NL01 </t>
  </si>
  <si>
    <t>WH1843NM01 </t>
  </si>
  <si>
    <t>WH1843QM02 </t>
  </si>
  <si>
    <t>WH1843WL01 </t>
  </si>
  <si>
    <t>WH2654WM01 </t>
  </si>
  <si>
    <t>Name With Unbreakbale Space</t>
  </si>
  <si>
    <t xml:space="preserve"> Name Without Unbreakable Space</t>
  </si>
  <si>
    <t>Length Without Unbreakable Space</t>
  </si>
  <si>
    <t>Length With Unbreakable Space</t>
  </si>
  <si>
    <t>Changing Name Of Matrial</t>
  </si>
  <si>
    <t>Write a formula in other column the formula is =subsitute</t>
  </si>
  <si>
    <t>ormula is =substitue(select the first data that you have ,write char(160) ,then"") press enter , after this the unbreakable space from your first data is removed , for all data double click on right corner</t>
  </si>
  <si>
    <t>on the data which has no unbreakable space , when you double click on right corner then it automatically remove all unbreakable sapce from all the data you have.</t>
  </si>
  <si>
    <t>HOW WE CAN REMOVE UNBREAKABLE SPACE FROM OUR DATA-:</t>
  </si>
  <si>
    <t xml:space="preserve">HOW WE CAN CHANGE THE NAME OF UNBREAKABLE DATA </t>
  </si>
  <si>
    <t>As you can see the column of changing the name of material in this column I am changing the name of unbrakable data for this write the formula =subsitute(select the data that you want to change the name ,"write a old name like WH "  ,"write a new name taht you</t>
  </si>
  <si>
    <t xml:space="preserve">e that you </t>
  </si>
  <si>
    <t>want to give liha MH") and prees oh botton .</t>
  </si>
  <si>
    <t xml:space="preserve"> </t>
  </si>
  <si>
    <t>Product_1</t>
  </si>
  <si>
    <t>Use Data Validation under the Data tab to restrict input types.</t>
  </si>
  <si>
    <t>Product_2</t>
  </si>
  <si>
    <t>Ensure Price and Quantity_Available are numeric, and Rating is a decimal.</t>
  </si>
  <si>
    <t>Product_3</t>
  </si>
  <si>
    <t>Highlight unnecessary columns and delete them or hide them if required for later use.</t>
  </si>
  <si>
    <t>Product_4</t>
  </si>
  <si>
    <t>Let me know if you’d like further guidance on implementing these steps!</t>
  </si>
  <si>
    <t>Product_5</t>
  </si>
  <si>
    <t>Use conditional formatting to highlight outliers or filter using IF formulas or slicers.</t>
  </si>
  <si>
    <t>Product_6</t>
  </si>
  <si>
    <t>Correct spelling or category mismatches (e.g., "Laptops" vs. "Laptop").</t>
  </si>
  <si>
    <t>Product_7</t>
  </si>
  <si>
    <t>Ensure consistent case for Product_Name (e.g., capitalize each word).</t>
  </si>
  <si>
    <t>Product_8</t>
  </si>
  <si>
    <t>Fill missing values with appropriate replacements (e.g., average price or a placeholder).</t>
  </si>
  <si>
    <t>Product_9</t>
  </si>
  <si>
    <t>In Excel, go to Data &gt; Remove Duplicates.</t>
  </si>
  <si>
    <t>Product_10</t>
  </si>
  <si>
    <t>Identify duplicate rows based on Product_ID or Product_Name.</t>
  </si>
  <si>
    <t>P0011</t>
  </si>
  <si>
    <t>Product_11</t>
  </si>
  <si>
    <t>P0012</t>
  </si>
  <si>
    <t>Product_12</t>
  </si>
  <si>
    <t>P0013</t>
  </si>
  <si>
    <t>Product_13</t>
  </si>
  <si>
    <t>P0014</t>
  </si>
  <si>
    <t>Product_14</t>
  </si>
  <si>
    <t>P0015</t>
  </si>
  <si>
    <t>Product_15</t>
  </si>
  <si>
    <t>P0016</t>
  </si>
  <si>
    <t>Product_16</t>
  </si>
  <si>
    <t>P0017</t>
  </si>
  <si>
    <t>Product_17</t>
  </si>
  <si>
    <t>P0018</t>
  </si>
  <si>
    <t>Product_18</t>
  </si>
  <si>
    <t>P0019</t>
  </si>
  <si>
    <t>Product_19</t>
  </si>
  <si>
    <t>P0020</t>
  </si>
  <si>
    <t>Product_20</t>
  </si>
  <si>
    <t>P0021</t>
  </si>
  <si>
    <t>Product_21</t>
  </si>
  <si>
    <t>Proper Case</t>
  </si>
  <si>
    <t>Upper Case</t>
  </si>
  <si>
    <t>Lower Case</t>
  </si>
  <si>
    <t>HOW TO FIX CHANGE  CASE OR LETTER  FIX</t>
  </si>
  <si>
    <t xml:space="preserve">Select the data that you want to fix then in next column write formula for arrange the category in proper way like elecTronics for this write the formula =proper(select the data you want to fix) press enter button now   elecTronics will fix into Electronics now if you want  </t>
  </si>
  <si>
    <t>to write  elecTronics in captial letter the write formula =upper(select the data that you want to fix) press enter and if you want to write  elecTronics  in small letter then write the formula =lower(</t>
  </si>
  <si>
    <t>la =lower( elecTronics) and then press enter .</t>
  </si>
  <si>
    <t>Food</t>
  </si>
  <si>
    <t xml:space="preserve">As you can see that we arrange the words in prper ,upper and lower case now we do not need the category column so I want to delate the category column so simply we select all ths data of category column and pree write button on mouse and click on delete option when we click on delete button then column category gives reference error </t>
  </si>
  <si>
    <t>TABLE - 1</t>
  </si>
  <si>
    <t>TABLE - 2</t>
  </si>
  <si>
    <t>rroe as you can see on table number 2</t>
  </si>
  <si>
    <t xml:space="preserve">it gives error because the formula for proper , upper , and lower is is depend on category cell that"s why when we delete the category cell then all the formula is automatically delted , for fix it  first you select all the data which is in category cell then copy taht data </t>
  </si>
  <si>
    <r>
      <t xml:space="preserve">and go to home tab in home tab go to paste button which is located at the top left corner inside the paste button choose the first option of the paste value or after copying the data you can also use short cut key press </t>
    </r>
    <r>
      <rPr>
        <b/>
        <sz val="11"/>
        <color theme="1"/>
        <rFont val="Aptos Narrow"/>
        <family val="2"/>
        <scheme val="minor"/>
      </rPr>
      <t>"Alt+H+V+V</t>
    </r>
    <r>
      <rPr>
        <sz val="11"/>
        <color theme="1"/>
        <rFont val="Aptos Narrow"/>
        <family val="2"/>
        <scheme val="minor"/>
      </rPr>
      <t xml:space="preserve">  or inside the paste button you can go on paste special option and select the value option after selecting  the value the formula which we apply is fix noe when we delete the category cell it easily deleted it did'n gives error becuse formula is fixed as you can see in table number 3.</t>
    </r>
  </si>
  <si>
    <t>ELECTRONICS</t>
  </si>
  <si>
    <t>electronics</t>
  </si>
  <si>
    <t>food</t>
  </si>
  <si>
    <t>CLOTHING</t>
  </si>
  <si>
    <t>clothing</t>
  </si>
  <si>
    <t>FURNITURE</t>
  </si>
  <si>
    <t>furniture</t>
  </si>
  <si>
    <t>STATIONERY</t>
  </si>
  <si>
    <t>stationery</t>
  </si>
  <si>
    <t>TABLE NUMBER -: 3</t>
  </si>
  <si>
    <t>Removing Negative Vlues</t>
  </si>
  <si>
    <t xml:space="preserve">HOW TO REMOVE NEGATIVE VALUES FROM THE DATA </t>
  </si>
  <si>
    <t>As you can see above in stock colunm some negative values are present so for removing the negative values we create new column whose name is Removing Negative Value in this column in first cell we write the formula =if(select the first data of stock column which is -3 (</t>
  </si>
  <si>
    <t>is -3(E2)</t>
  </si>
  <si>
    <t>then write your condition like &lt;0 or etc then write what you want to print if your condition is right so you want to print 0 and again select the first cell of  Removing Negative Value column. At last press enter button and if you want this to apply for all the data then</t>
  </si>
  <si>
    <t>double tab on right corner it automatically apply for all the data . Our formula looks likes =if(E2(etc)&lt;0(etc),0(etc),E2). This formula for my above data.=if(E2(etc)&lt;0(etc),0(etc),E2) ye formula ye bata raha h ki aagar E2 negative value h to negative value ko remove kar ke waha per 0 kar do . condition aapna hisab se laga saktao ho ye tumpe depend karta h .</t>
  </si>
  <si>
    <t>City - Pincode</t>
  </si>
  <si>
    <t>Pune - 413254</t>
  </si>
  <si>
    <t>Surat - 235646</t>
  </si>
  <si>
    <t>Pupri - 843320</t>
  </si>
  <si>
    <t>Sitamarhi - 843301</t>
  </si>
  <si>
    <t>Mumbai</t>
  </si>
  <si>
    <t>City</t>
  </si>
  <si>
    <t>Pune</t>
  </si>
  <si>
    <t>Surat</t>
  </si>
  <si>
    <t>Pupri</t>
  </si>
  <si>
    <t>Sitamarhi</t>
  </si>
  <si>
    <t>Mumbai - 400086</t>
  </si>
  <si>
    <t>Pincode</t>
  </si>
  <si>
    <t xml:space="preserve"> -</t>
  </si>
  <si>
    <t>-</t>
  </si>
  <si>
    <t>HOW TABLE 1 WORKS</t>
  </si>
  <si>
    <t xml:space="preserve">If you want to seprate city from cell 1(city -pincode) then copy the name of any city which is in first cell </t>
  </si>
  <si>
    <t>and in cell 2 (city) paste it a</t>
  </si>
  <si>
    <t>as you click on flash fill option city name is seprated from cell 1 . And  similary it works for picode , hifun etc .</t>
  </si>
  <si>
    <t>MUMBAI</t>
  </si>
  <si>
    <t>BANGLORE</t>
  </si>
  <si>
    <t>DELHI</t>
  </si>
  <si>
    <t>PUNJAB</t>
  </si>
  <si>
    <t>BIHAR</t>
  </si>
  <si>
    <t>UP</t>
  </si>
  <si>
    <t>Banglore</t>
  </si>
  <si>
    <t>Delhi</t>
  </si>
  <si>
    <t>Punjab</t>
  </si>
  <si>
    <t>Bihar</t>
  </si>
  <si>
    <t>Up</t>
  </si>
  <si>
    <t>mumbai</t>
  </si>
  <si>
    <t>banglore</t>
  </si>
  <si>
    <t>delhi</t>
  </si>
  <si>
    <t>punjab</t>
  </si>
  <si>
    <t>bihar</t>
  </si>
  <si>
    <t>up</t>
  </si>
  <si>
    <t>USES OF FLASH FILL OPTION</t>
  </si>
  <si>
    <t xml:space="preserve">By using flash fill option we can convert upper case word into lower case </t>
  </si>
  <si>
    <t>Proper</t>
  </si>
  <si>
    <t>word , upper case into proper .</t>
  </si>
  <si>
    <t>Now if you want to convert upper case word into lower case</t>
  </si>
  <si>
    <t xml:space="preserve">word then </t>
  </si>
  <si>
    <t xml:space="preserve">in next cell write your word in lower case and then go in 2nd cell in same column and press ctrl+e or click on flah fill </t>
  </si>
  <si>
    <t>option and it is similar for upper case into proper also .</t>
  </si>
  <si>
    <t xml:space="preserve">Note -: Flash Fill or ctrl+e is not work dinamically means if you are seprating city name and pincode from column 1 (City - Pincode) </t>
  </si>
  <si>
    <t xml:space="preserve">and after this a small change in you column 1 (City - Pincode) then you have to repeate the same process to seprate the city name </t>
  </si>
  <si>
    <t>Mumbai - 400088</t>
  </si>
  <si>
    <t>Left Side</t>
  </si>
  <si>
    <t>Right Side</t>
  </si>
  <si>
    <t xml:space="preserve">Mumbai </t>
  </si>
  <si>
    <t>u have to use the some formula and this fomula change the data automatically</t>
  </si>
  <si>
    <t>Pupri - 843325</t>
  </si>
  <si>
    <t xml:space="preserve">In table 2 If I </t>
  </si>
  <si>
    <t xml:space="preserve">change any thing in the data an ptrss enter button It automatically change in column 2(left side) and column 3(right side) </t>
  </si>
  <si>
    <t xml:space="preserve">because we use the formula </t>
  </si>
  <si>
    <t>ula =LEFT(G2,FIND("-",G2,1)-1)</t>
  </si>
  <si>
    <t>where ,</t>
  </si>
  <si>
    <t>G2 is the row ,find is a another formula which is used ton find any thig in your data so find formula is finding the "-"</t>
  </si>
  <si>
    <t xml:space="preserve">in data </t>
  </si>
  <si>
    <t>hyphen</t>
  </si>
  <si>
    <t>and again G2 is a row and 1 tell that searching starts from first character .</t>
  </si>
  <si>
    <t>Without -1</t>
  </si>
  <si>
    <t>This formula is used in only left side column.</t>
  </si>
  <si>
    <t>For Right Column -:</t>
  </si>
  <si>
    <t xml:space="preserve">we use this formula </t>
  </si>
  <si>
    <t xml:space="preserve">rmula=right(G3,len(G3)-find("-",G3,1) </t>
  </si>
  <si>
    <t>"Find" is a formula which is used to find any thing in your data.</t>
  </si>
  <si>
    <t>HOW IT WORKS-:</t>
  </si>
  <si>
    <t xml:space="preserve">Some time while entering a huge data we write a 11 digit of mobile number and we have no idea about it and we continue entering the the data so this is not right </t>
  </si>
  <si>
    <t xml:space="preserve">now let's suppose that we enter a wrong mobile number of any employee and if we need to call him then it is impossible to call so for this data valadition is works </t>
  </si>
  <si>
    <t xml:space="preserve">before entering the mobile number just select the whole column by pressing ctrl+shift+down arrow and then go to data tab inside data tab go to data validation option </t>
  </si>
  <si>
    <t>a validation</t>
  </si>
  <si>
    <t>works</t>
  </si>
  <si>
    <t xml:space="preserve">inside data validation option select 1st option then select setting then inside the setting click on text button and after clickin on text button you got the option for text length that how much length you want for your text so in maximum option you put 10 and in minimum option you put 10 again because mobole number contains only 10 digit and at last press ok button now after pressing ok button when you start entering mobilr number and if you write 11 or greater than 10 digit then on your display </t>
  </si>
  <si>
    <t>a message is coming which tell you that you are entering a wrong mobile number and if you want to change a message then again select all the cell in which you are entering mobile number and go to data validation and inside data validation  select 1st optin and then click on alert button after clicking alert button you writr your message that you want to show when you are entering a wrong mobile number . so by this process when you are entering wrong mobile number by mistake then message is coming automatically you are prevent entering a wrong mobile number .</t>
  </si>
  <si>
    <t>Emp ID</t>
  </si>
  <si>
    <t>Salesman</t>
  </si>
  <si>
    <t>Target status</t>
  </si>
  <si>
    <t>Sales Achive</t>
  </si>
  <si>
    <t>Status</t>
  </si>
  <si>
    <r>
      <t xml:space="preserve">          </t>
    </r>
    <r>
      <rPr>
        <b/>
        <sz val="20"/>
        <color theme="1"/>
        <rFont val="Aptos Narrow"/>
        <family val="2"/>
        <scheme val="minor"/>
      </rPr>
      <t>Target Condition</t>
    </r>
  </si>
  <si>
    <t>&gt;=50000</t>
  </si>
  <si>
    <t>Completed</t>
  </si>
  <si>
    <t>&lt;50000</t>
  </si>
  <si>
    <t>Incompleted</t>
  </si>
  <si>
    <t>Incentive Calculations</t>
  </si>
  <si>
    <t>Percentage</t>
  </si>
  <si>
    <t>70000&gt;</t>
  </si>
  <si>
    <t>50000&gt;</t>
  </si>
  <si>
    <t>HOW TO FIND TARGET STATUS</t>
  </si>
  <si>
    <t xml:space="preserve">As you can see that we have given a taraget condition  so for checkin the target condition in our data we use this formula and the formula is =if(select the cell like D2 ,F2 ,etc then &gt;=50000,"completed","incompleted")    </t>
  </si>
  <si>
    <t xml:space="preserve">so over all formula looks like for above table is =if(D2&gt;=50000,"completed","incompleted") . This is for one cell for more cell like you have a 20 data then find for first data and double tap at right corner of the first data cell </t>
  </si>
  <si>
    <t>so it automatically find for all 20 data.</t>
  </si>
  <si>
    <t>Incentive 1</t>
  </si>
  <si>
    <t>Incentive 2</t>
  </si>
  <si>
    <t>HOW TO FIND THE INCENTIVE CALCULATIONS</t>
  </si>
  <si>
    <t>To find the incentive calculation there is a two method or formula to find the incentive calculation .</t>
  </si>
  <si>
    <t>so first formula is =ifs(select your cell &gt;70000,select the same cell that you select previous*20%,select the same cell &gt;50000,select the same cell *15%,select the same cell &lt;=50000,select the same cell *10%)</t>
  </si>
  <si>
    <t>so over all formula is for above table =ifs(D2&gt;70000,D2*20%,D2&gt;50000,D2*15%,D2&lt;=50000,D2*10%) .</t>
  </si>
  <si>
    <t xml:space="preserve">and the second formula is =if(D2&gt;70000,D2*20%,IF(D2&gt;50000,D2*15%,IF(D2&lt;=50000,D2*10%))) in this formula we use 2 times if after the first if or formula if because we have only given 3 incentive calculation </t>
  </si>
  <si>
    <t xml:space="preserve">and according to this rule incentive calculation jitna diya hoga uss se aak less jaisa upper wala table me 2 incentive calculation diya hua tha to humna formula me 2 baar if ka use kiya farmula wala if ke baad </t>
  </si>
  <si>
    <t xml:space="preserve">example me maan lo aagar incentive calculation 10 diya ho ga to hum if 9 baar use kara gaya formula wal if ke baad , formual wala if ka matlab h ki jaia hum formula likhata h n =if to ye wala formula wala if hua </t>
  </si>
  <si>
    <t>isko chor ke count kara gaya . 2nd formula is very long if we have a large amount of incentive calculation so genarally we use the 1st formual to find the incentive calculations.</t>
  </si>
  <si>
    <t>Working (years)</t>
  </si>
  <si>
    <t>Promotion</t>
  </si>
  <si>
    <t>Use of AND/OR</t>
  </si>
  <si>
    <t xml:space="preserve">Both </t>
  </si>
  <si>
    <t>&gt;=5</t>
  </si>
  <si>
    <t>Yes</t>
  </si>
  <si>
    <t>Promotion usind AND formula</t>
  </si>
  <si>
    <t>Promotion using OR formula</t>
  </si>
  <si>
    <t>5&gt;</t>
  </si>
  <si>
    <t xml:space="preserve">Promotion </t>
  </si>
  <si>
    <t xml:space="preserve">                 Anyone</t>
  </si>
  <si>
    <t>Condition For And -:</t>
  </si>
  <si>
    <t>Condition For OR -:</t>
  </si>
  <si>
    <t>HOW IT HAPPENS FOR AND -:</t>
  </si>
  <si>
    <t xml:space="preserve">AND  me dono hi condition true hona chaiya tabhi ja kar formula work karta h aur AND ka formula ye h =if(and(departement column ko first cell ko select karo yani ki A2 uska baad = ka sign do </t>
  </si>
  <si>
    <t>uska baad jis departement ko promote karna chata ho wo likho double inverted comma ke under yani ki aaisa "Finance",uska baad salary wala column ka first data ko select karo yani ki B2 ska baad aapna</t>
  </si>
  <si>
    <t xml:space="preserve">conditin likho example me B2&gt;=5 phir bracket ko close karo),"Yes","No". So overall formula huma ye raha upper wala table ke according =if(and(A2="Finance",B2&gt;=5),"Yes","No") iss formula tum chaio to finace </t>
  </si>
  <si>
    <t xml:space="preserve">ke jagha per operations , sales , etc kuch bhi daal sakata ho aur ye A2 , B2  ye cell number h ye tum per depand karat h jis cell me tumahra data raha ga uss cell ka number aa jaya ga aur ye &gt;=5 ye condition h ye tum aapna </t>
  </si>
  <si>
    <t>hisab se change kar sakato ho .</t>
  </si>
  <si>
    <t>HOW IT HAPPENDS FOR OR -:</t>
  </si>
  <si>
    <t xml:space="preserve">OR me koi aak condition bhi true ho ga to formula work kar jaya ga aur AND aur OR ka formula bhi  same h sirf AND wala formula me se AND ko remove kar ke OR ko add kar dena h aur OR ka formula ye h =if(and(departement column ko first cell ko select karo yani ki A2 uska baad = ka sign do </t>
  </si>
  <si>
    <t>AND aur OR me sirf ye difference h ki wo sirf aak hi condition ko check kara ga jaisa ki aap upper wala table me dekh sakata h OR ne kaya h ki jitna bhi 5 ya 5 year se upper working year h</t>
  </si>
  <si>
    <t>un sab ko promote kar diya h .</t>
  </si>
  <si>
    <t>Sale Date</t>
  </si>
  <si>
    <t>Region</t>
  </si>
  <si>
    <t>State</t>
  </si>
  <si>
    <t>Product</t>
  </si>
  <si>
    <t>Quantity</t>
  </si>
  <si>
    <t>Price per Unit</t>
  </si>
  <si>
    <t>Sales Amount</t>
  </si>
  <si>
    <t>West</t>
  </si>
  <si>
    <t>Maharashtra</t>
  </si>
  <si>
    <t>South</t>
  </si>
  <si>
    <t>Karnataka</t>
  </si>
  <si>
    <t>Mysuru</t>
  </si>
  <si>
    <t>Tamil Nadu</t>
  </si>
  <si>
    <t>Chennai</t>
  </si>
  <si>
    <t>Groceries</t>
  </si>
  <si>
    <t>Madurai</t>
  </si>
  <si>
    <t>North</t>
  </si>
  <si>
    <t>New Delhi</t>
  </si>
  <si>
    <t>Nagpur</t>
  </si>
  <si>
    <t>Coimbatore</t>
  </si>
  <si>
    <t>Hubli</t>
  </si>
  <si>
    <t>Gujarat</t>
  </si>
  <si>
    <t>Ahmedabad</t>
  </si>
  <si>
    <t>Vadodara</t>
  </si>
  <si>
    <t xml:space="preserve">HOW IT WORKS -: </t>
  </si>
  <si>
    <t>TABLE -: 1</t>
  </si>
  <si>
    <t>TABLE -: 2</t>
  </si>
  <si>
    <t xml:space="preserve">Shorting ka matlab hota h data ko systmatice way me arrange karna jaisa ki tum table 2 me dekh sakta ho ki table 2 me jitna bhi data h wo unsystmatice way me h jaisa ki  Sale Date,Region	State,City,Product,Quantity,Price per Unit	,Sales Amount ye sab data </t>
  </si>
  <si>
    <t>unsymatrice way me h to huma iss data ko symmetrice way me lana ke liya shorting ka use karta h to kaisa aaya dekhata h -:</t>
  </si>
  <si>
    <t xml:space="preserve">to sabsa pahala hum pura sale data ko select kar le gaya uska baad data tab per jaya gaya uska baad data tab ke under short ka option hoga aur short ke option ke bagal me 2 option hoga pahala option rahaya ki acending to decending (A TO Z) or dusra option rahaya </t>
  </si>
  <si>
    <t xml:space="preserve">ki decending to acending(Z TO A) aab maan lo aagar tum ne pahala wala option ko select kiya to tumahata sales date h wo acending to decending me arrange ho jaya ga matlab sabsa chhota month sabse upper aa jaya ga uska baad uss se chhota uska baad last me sabsa bada jaisa ki tu table number 1 me dekh sakata ho aur aagar tumna dusra wala option select karo gaya to tumahara sales date decending to acending me arrange hojaya ga matlab sabsa bada sabsa upper uska baad uss se bada aur uska baad last me sabsa chhota jaisa ki tum table 1 me dekh sakata ho . similary tum  </t>
  </si>
  <si>
    <t xml:space="preserve">inn sab ke liya bhi kar sakata ho for example tumna region ko select kar ke aur acending to decinding orde me convert kar diya to jo bhi alphabet sabsa pahala aata h wo sabsa upper aa jaya ga uska </t>
  </si>
  <si>
    <t xml:space="preserve">baad </t>
  </si>
  <si>
    <t>SHORTED DATA</t>
  </si>
  <si>
    <t xml:space="preserve">                                    UNSHORTED DATA</t>
  </si>
  <si>
    <t>HOW IT WORKS -:</t>
  </si>
  <si>
    <t>Let's suppose that you want to see only the sales rate mumbai then filter is used so for filtering select your whole data and after selecting the data press "alt+a+t" or go to data tab inside data tab go to filter option when you are entering the filter in your data then</t>
  </si>
  <si>
    <t xml:space="preserve">on your data heading at right corner down arrow is shown it means in your whole data filter is aplied now you want to see only the sales rate of mumbai then go to city and click on down arrow and select the mumbai city only and press ok button after pressing ok button only the sles rate of the mumbai city is shown and similary </t>
  </si>
  <si>
    <t>you can apply for all .</t>
  </si>
  <si>
    <t>Customer Name</t>
  </si>
  <si>
    <t>Product Category</t>
  </si>
  <si>
    <t>Meera</t>
  </si>
  <si>
    <t>Table</t>
  </si>
  <si>
    <t>Vihaan</t>
  </si>
  <si>
    <t>Ruler</t>
  </si>
  <si>
    <t>Nishant</t>
  </si>
  <si>
    <t>Bengaluru</t>
  </si>
  <si>
    <t>Dress</t>
  </si>
  <si>
    <t>Aditi</t>
  </si>
  <si>
    <t>Lentils</t>
  </si>
  <si>
    <t>Ishita</t>
  </si>
  <si>
    <t>Eraser</t>
  </si>
  <si>
    <t>Aarav</t>
  </si>
  <si>
    <t>Riya</t>
  </si>
  <si>
    <t>Pants</t>
  </si>
  <si>
    <t>Aryan</t>
  </si>
  <si>
    <t>Shirt</t>
  </si>
  <si>
    <t>Ananya</t>
  </si>
  <si>
    <t>Dwarka</t>
  </si>
  <si>
    <t>Rice</t>
  </si>
  <si>
    <t>Kabir</t>
  </si>
  <si>
    <t>Karol Bagh</t>
  </si>
  <si>
    <t>Sugar</t>
  </si>
  <si>
    <t xml:space="preserve">Table 1 se pura heading ko select kar ke copy kar lo aur dusra column me paste kar do pasts e karna ke baad  sales data ke first cell me formula lkho =sort(aab sales date wala pura row ko select kar lo uska baad ctrl+shift+downarrow click kar do pura data select ho </t>
  </si>
  <si>
    <t xml:space="preserve">jaya ga  aur formula me cell number aa jaya ga jaisa hi tum pura data ko select karo gaya aur formula me wapas aana ke liya crtl+backspace ke ko press karo . Aab tumahara formula kuch iss traha dikha ga </t>
  </si>
  <si>
    <t xml:space="preserve">SHORT(B3:K25,2,2)  , yaha per maina formula me = nahi diya hu aur sort ka spelling bhi galat likha hu koi ki aagar formula pura sahi likh raha hu to upeer wala cell select ho ja raha h </t>
  </si>
  <si>
    <t>.</t>
  </si>
  <si>
    <t>aab jais ahi tum ye formula likh kar enter press karo gaya to pura data aapna app aa jaya ga jaisa ki table number 2 me dekh sakata ho</t>
  </si>
  <si>
    <t xml:space="preserve">jab tumahara pass formula applied tabla aaya ga to usmay sales data code me likha rahaya ga to usko normal date ma lana ke liya sales date wala  pura colunm ko select karo aur phir home tab per jao aur home tab per number wala option per ja kar </t>
  </si>
  <si>
    <t>short data wala option per click kar do tumahara date normal formate me aa jaya ga .</t>
  </si>
  <si>
    <t xml:space="preserve">Sort formula tabhi work kara ga jab pura cell empty ho ga </t>
  </si>
  <si>
    <t>FILTER FORMULA</t>
  </si>
  <si>
    <t>DATA WITHOUT FILTER FORMULA -:</t>
  </si>
  <si>
    <t xml:space="preserve">                          DATA WITHOUT  SORT FORMULA -:</t>
  </si>
  <si>
    <t xml:space="preserve">                                                  DATA WITH SORT FORMULA -:</t>
  </si>
  <si>
    <t>DATA WITH FILTER FORMULA -:</t>
  </si>
  <si>
    <t>TABLE -:2</t>
  </si>
  <si>
    <t>HOW FILTER FORMULA WORKS -:</t>
  </si>
  <si>
    <t xml:space="preserve">Iss me bhi pura heading ko copy ke ke kisi dusra cell me past kar do filter formula humlog iss liya use karta h ki jaisa mai chata hu ki mujha sirf "Maharashtra" state ki hi data chiya to hum log filter formula ko use karta h  to filter ka formula </t>
  </si>
  <si>
    <t>ye raha =filter(select first full row:then select whole data by clicking ctrl+shift + down arrow</t>
  </si>
  <si>
    <t>, uska badd jis state ke according tum data ko filter karna chata ho uss cell ko select kar lo: uska badd state wala pua column ko select kar lo uska baad =</t>
  </si>
  <si>
    <t>de kar "state ka naam likh do" , uska baad aagar tumna aaisa state ka naam dala ki wo pura data me hi nahi h to message ye dal to ki [State not found in the given data]. At last aapna formula aaisa dikaha ga jo maina upper wala data me use kiy h</t>
  </si>
  <si>
    <t>formula ye raha =filter(A2:J1001,D2:D1001="Maharashtra"[State is not found]. Ye formula ka result tum table 2 me dekh lo. Ye ye filter wala formula hum  sab ke liya use kar sakata h jaisa ki coustomer name , sales date ,city , state , region , product category ,</t>
  </si>
  <si>
    <t>product name , quality ,price oer unit aur sale ammount .</t>
  </si>
  <si>
    <t>state</t>
  </si>
  <si>
    <t xml:space="preserve">upper jo bhi data diya hua haagar usmaya me unique data nikalna ho h to uskaya liya maan lo ki state wala column me se unique state nikalana h to iskaya liya hum aak new column banaya ga aur uska naam stata hoga uska baad data tab per ja kar data validation per jaya gaya uska baad setting option per ja kar allow wala option per list ko select kara gaya aur aur phir sourse wala option per ja kar aapna original data yani ki table number 1 se state wala column ko pura select kaya gaya or phir ok button click kar dengaya , jaisa </t>
  </si>
  <si>
    <t>table number 3 me dekh sakata ho table 3 me state wala column ke right corner per down arrow ka option ho ga uss per click karo gaya to sara unique state ka name show ho jaya ga aur ye same thing humlog sab ke saath kar sakata h jaisa ki coustomer name,</t>
  </si>
  <si>
    <t>sales date,city,state,region,product category,product name,quality,price per unit,aur sales amount process same rahaya ga data wala tab per jana h data validation per ja kar setting wala option per jana uska baad  allow wala option per ja kar list ko select karna h</t>
  </si>
  <si>
    <t>uska baad source wala column per ja kar jis ko tum filter karna chato ho uss column ko pure selsct kar ke ok button press kar den wo filter ho jaya ga .</t>
  </si>
  <si>
    <r>
      <t xml:space="preserve">                    </t>
    </r>
    <r>
      <rPr>
        <b/>
        <sz val="14"/>
        <color theme="1"/>
        <rFont val="Aptos Narrow"/>
        <family val="2"/>
        <scheme val="minor"/>
      </rPr>
      <t xml:space="preserve">  TABLE -: 3</t>
    </r>
  </si>
  <si>
    <t>jaisa ki tum table number 3 me dekh sakatao ho .</t>
  </si>
  <si>
    <t xml:space="preserve">table number 3 me state wala column per richt coener per down arrow aur filter lagaya hua h </t>
  </si>
  <si>
    <t>jaisa hi tum down arrow per click karo gaya to tumaha unique stste ka option mila ga aur tum jis bhi state ko select haro gaya uss state ka sara record aa jay aga .</t>
  </si>
  <si>
    <t xml:space="preserve">Take formula ka use tab karta h jab huma koi ye bola ki maharastra state ki to 5 sales amount niklo hum take formula ka use karat h jaisa ki table number 3 me maina 3 formula </t>
  </si>
  <si>
    <t xml:space="preserve">use kiya h formula ye raha =take(sort(filter(B41:K63,E41:E63=N41),10,-1)N44) aab sabsa pahala hum filter formula ka use kar ke state ko seprate kar lengaya uskaya baad </t>
  </si>
  <si>
    <t xml:space="preserve">sort formula ka use kara gaya koi ki huma jis bhi heading ke according top 5 data chaiya uska cell number likh de gaya jaisa ki 10 uska baad huma data acending ya decending order </t>
  </si>
  <si>
    <t xml:space="preserve">chaiya wo likh dengaya -1 decending ke liya hota h aur 1 acending ke liya hota h uska baad take formula ka use kara gaya iss formula ko use karan ke liya take likh kar koi bhi cell select kar lengay jaisa ki N44 uska baad enter button press kar dengay jaisa hi enter button press kara gaya waisa hi pura data clean ho jaya ga aur first cell me #calc! ya aa jaya ga </t>
  </si>
  <si>
    <t>lakin tenson wali koi baat nahi h jis cell ko tumna last me select kiya tha jaisa N44 uss cell me ja kar 1,2,3,4,5,6,7,8,9,10,11,12,13,14,15,16,17,18,19,20….....etc jitna number tum N44 cell me likho gaya aur enter press karo gaya utna top record aa jaya ga jaisa ki maan lo tumna 5 likh kar enter press kiy to top 5 list aa jaya ga .</t>
  </si>
  <si>
    <t xml:space="preserve">        Department</t>
  </si>
  <si>
    <t xml:space="preserve">    Joining Date</t>
  </si>
  <si>
    <t xml:space="preserve">        Employee_1</t>
  </si>
  <si>
    <t xml:space="preserve">        Employee_2</t>
  </si>
  <si>
    <t xml:space="preserve">        Employee_3</t>
  </si>
  <si>
    <t xml:space="preserve">        Employee_4</t>
  </si>
  <si>
    <t xml:space="preserve">        Employee_5</t>
  </si>
  <si>
    <t xml:space="preserve">        Employee_7</t>
  </si>
  <si>
    <t xml:space="preserve">        Employee_8</t>
  </si>
  <si>
    <t xml:space="preserve">        Employee_9</t>
  </si>
  <si>
    <t xml:space="preserve">        Employee_10</t>
  </si>
  <si>
    <t xml:space="preserve">        Employee_11</t>
  </si>
  <si>
    <t xml:space="preserve">        Employee_12</t>
  </si>
  <si>
    <t xml:space="preserve"> joining Date</t>
  </si>
  <si>
    <t>1/13/2020</t>
  </si>
  <si>
    <t>1/14/2020</t>
  </si>
  <si>
    <t>1/15/2020</t>
  </si>
  <si>
    <t>1/16/2020</t>
  </si>
  <si>
    <t>1/17/2020</t>
  </si>
  <si>
    <t>1/18/2020</t>
  </si>
  <si>
    <t>1/19/2020</t>
  </si>
  <si>
    <t>1/20/2020</t>
  </si>
  <si>
    <t>1/21/2020</t>
  </si>
  <si>
    <t>1/22/2020</t>
  </si>
  <si>
    <t>1/23/2020</t>
  </si>
  <si>
    <t>1/24/2020</t>
  </si>
  <si>
    <t>1/25/2020</t>
  </si>
  <si>
    <t>1/26/2020</t>
  </si>
  <si>
    <t>1/27/2020</t>
  </si>
  <si>
    <t>1/28/2020</t>
  </si>
  <si>
    <t>1/29/2020</t>
  </si>
  <si>
    <t>1/30/2020</t>
  </si>
  <si>
    <t>1/31/2020</t>
  </si>
  <si>
    <t>2/13/2020</t>
  </si>
  <si>
    <t>2/14/2020</t>
  </si>
  <si>
    <t>2/15/2020</t>
  </si>
  <si>
    <t>2/16/2020</t>
  </si>
  <si>
    <t>2/17/2020</t>
  </si>
  <si>
    <t>2/18/2020</t>
  </si>
  <si>
    <t>2/19/2020</t>
  </si>
  <si>
    <t>EMP051</t>
  </si>
  <si>
    <t>Employee_51</t>
  </si>
  <si>
    <t>2/20/2020</t>
  </si>
  <si>
    <t>EMP052</t>
  </si>
  <si>
    <t>Employee_52</t>
  </si>
  <si>
    <t>2/21/2020</t>
  </si>
  <si>
    <t>EMP053</t>
  </si>
  <si>
    <t>Employee_53</t>
  </si>
  <si>
    <t>2/22/2020</t>
  </si>
  <si>
    <t>EMP054</t>
  </si>
  <si>
    <t>Employee_54</t>
  </si>
  <si>
    <t>2/23/2020</t>
  </si>
  <si>
    <t>EMP055</t>
  </si>
  <si>
    <t>Employee_55</t>
  </si>
  <si>
    <t>2/24/2020</t>
  </si>
  <si>
    <t>EMP056</t>
  </si>
  <si>
    <t>Employee_56</t>
  </si>
  <si>
    <t>2/25/2020</t>
  </si>
  <si>
    <t>EMP057</t>
  </si>
  <si>
    <t>Employee_57</t>
  </si>
  <si>
    <t>2/26/2020</t>
  </si>
  <si>
    <t>EMP058</t>
  </si>
  <si>
    <t>Employee_58</t>
  </si>
  <si>
    <t>2/27/2020</t>
  </si>
  <si>
    <t>EMP059</t>
  </si>
  <si>
    <t>Employee_59</t>
  </si>
  <si>
    <t>2/28/2020</t>
  </si>
  <si>
    <t>EMP060</t>
  </si>
  <si>
    <t>Employee_60</t>
  </si>
  <si>
    <t>2/29/2020</t>
  </si>
  <si>
    <t>EMP061</t>
  </si>
  <si>
    <t>Employee_61</t>
  </si>
  <si>
    <t>EMP062</t>
  </si>
  <si>
    <t>Employee_62</t>
  </si>
  <si>
    <t>EMP063</t>
  </si>
  <si>
    <t>Employee_63</t>
  </si>
  <si>
    <t>EMP064</t>
  </si>
  <si>
    <t>Employee_64</t>
  </si>
  <si>
    <t>EMP065</t>
  </si>
  <si>
    <t>Employee_65</t>
  </si>
  <si>
    <t>EMP066</t>
  </si>
  <si>
    <t>Employee_66</t>
  </si>
  <si>
    <t>EMP067</t>
  </si>
  <si>
    <t>Employee_67</t>
  </si>
  <si>
    <t>EMP068</t>
  </si>
  <si>
    <t>Employee_68</t>
  </si>
  <si>
    <t>EMP069</t>
  </si>
  <si>
    <t>Employee_69</t>
  </si>
  <si>
    <t>EMP070</t>
  </si>
  <si>
    <t>Employee_70</t>
  </si>
  <si>
    <t>EMP071</t>
  </si>
  <si>
    <t>Employee_71</t>
  </si>
  <si>
    <t>EMP072</t>
  </si>
  <si>
    <t>Employee_72</t>
  </si>
  <si>
    <t>EMP073</t>
  </si>
  <si>
    <t>Employee_73</t>
  </si>
  <si>
    <t>3/13/2020</t>
  </si>
  <si>
    <t>EMP074</t>
  </si>
  <si>
    <t>Employee_74</t>
  </si>
  <si>
    <t>3/14/2020</t>
  </si>
  <si>
    <t>EMP075</t>
  </si>
  <si>
    <t>Employee_75</t>
  </si>
  <si>
    <t>3/15/2020</t>
  </si>
  <si>
    <t>EMP076</t>
  </si>
  <si>
    <t>Employee_76</t>
  </si>
  <si>
    <t>3/16/2020</t>
  </si>
  <si>
    <t>EMP077</t>
  </si>
  <si>
    <t>Employee_77</t>
  </si>
  <si>
    <t>3/17/2020</t>
  </si>
  <si>
    <t>EMP078</t>
  </si>
  <si>
    <t>Employee_78</t>
  </si>
  <si>
    <t>3/18/2020</t>
  </si>
  <si>
    <t>EMP079</t>
  </si>
  <si>
    <t>Employee_79</t>
  </si>
  <si>
    <t>3/19/2020</t>
  </si>
  <si>
    <t>EMP080</t>
  </si>
  <si>
    <t>Employee_80</t>
  </si>
  <si>
    <t>3/20/2020</t>
  </si>
  <si>
    <t>EMP081</t>
  </si>
  <si>
    <t>Employee_81</t>
  </si>
  <si>
    <t>3/21/2020</t>
  </si>
  <si>
    <t>EMP082</t>
  </si>
  <si>
    <t>Employee_82</t>
  </si>
  <si>
    <t>3/22/2020</t>
  </si>
  <si>
    <t>EMP083</t>
  </si>
  <si>
    <t>Employee_83</t>
  </si>
  <si>
    <t>3/23/2020</t>
  </si>
  <si>
    <t>EMP084</t>
  </si>
  <si>
    <t>Employee_84</t>
  </si>
  <si>
    <t>3/24/2020</t>
  </si>
  <si>
    <t>EMP085</t>
  </si>
  <si>
    <t>Employee_85</t>
  </si>
  <si>
    <t>3/25/2020</t>
  </si>
  <si>
    <t>EMP086</t>
  </si>
  <si>
    <t>Employee_86</t>
  </si>
  <si>
    <t>3/26/2020</t>
  </si>
  <si>
    <t>EMP087</t>
  </si>
  <si>
    <t>Employee_87</t>
  </si>
  <si>
    <t>3/27/2020</t>
  </si>
  <si>
    <t>EMP088</t>
  </si>
  <si>
    <t>Employee_88</t>
  </si>
  <si>
    <t>3/28/2020</t>
  </si>
  <si>
    <t>EMP089</t>
  </si>
  <si>
    <t>Employee_89</t>
  </si>
  <si>
    <t>3/29/2020</t>
  </si>
  <si>
    <t>EMP090</t>
  </si>
  <si>
    <t>Employee_90</t>
  </si>
  <si>
    <t>3/30/2020</t>
  </si>
  <si>
    <t>EMP091</t>
  </si>
  <si>
    <t>Employee_91</t>
  </si>
  <si>
    <t>3/31/2020</t>
  </si>
  <si>
    <t>EMP092</t>
  </si>
  <si>
    <t>Employee_92</t>
  </si>
  <si>
    <t>EMP093</t>
  </si>
  <si>
    <t>Employee_93</t>
  </si>
  <si>
    <t>EMP094</t>
  </si>
  <si>
    <t>Employee_94</t>
  </si>
  <si>
    <t>EMP095</t>
  </si>
  <si>
    <t>Employee_95</t>
  </si>
  <si>
    <t>EMP096</t>
  </si>
  <si>
    <t>Employee_96</t>
  </si>
  <si>
    <t>EMP097</t>
  </si>
  <si>
    <t>Employee_97</t>
  </si>
  <si>
    <t>EMP098</t>
  </si>
  <si>
    <t>Employee_98</t>
  </si>
  <si>
    <t>EMP099</t>
  </si>
  <si>
    <t>Employee_99</t>
  </si>
  <si>
    <t>EMP100</t>
  </si>
  <si>
    <t>Employee_100</t>
  </si>
  <si>
    <t>Employee_101</t>
  </si>
  <si>
    <t>Employee_102</t>
  </si>
  <si>
    <t>Employee_103</t>
  </si>
  <si>
    <t>Employee_104</t>
  </si>
  <si>
    <t>4/13/2020</t>
  </si>
  <si>
    <t>EMP105</t>
  </si>
  <si>
    <t>Employee_105</t>
  </si>
  <si>
    <t>4/14/2020</t>
  </si>
  <si>
    <t>Employee_106</t>
  </si>
  <si>
    <t>4/15/2020</t>
  </si>
  <si>
    <t>Employee_107</t>
  </si>
  <si>
    <t>4/16/2020</t>
  </si>
  <si>
    <t>Employee_108</t>
  </si>
  <si>
    <t>4/17/2020</t>
  </si>
  <si>
    <t>Employee_109</t>
  </si>
  <si>
    <t>4/18/2020</t>
  </si>
  <si>
    <t>EMP110</t>
  </si>
  <si>
    <t>Employee_110</t>
  </si>
  <si>
    <t>4/19/2020</t>
  </si>
  <si>
    <t>Employee_111</t>
  </si>
  <si>
    <t>4/20/2020</t>
  </si>
  <si>
    <t>Employee_112</t>
  </si>
  <si>
    <t>4/21/2020</t>
  </si>
  <si>
    <t>Employee_113</t>
  </si>
  <si>
    <t>4/22/2020</t>
  </si>
  <si>
    <t>Employee_114</t>
  </si>
  <si>
    <t>4/23/2020</t>
  </si>
  <si>
    <t>EMP115</t>
  </si>
  <si>
    <t>Employee_115</t>
  </si>
  <si>
    <t>4/24/2020</t>
  </si>
  <si>
    <t>Employee_116</t>
  </si>
  <si>
    <t>4/25/2020</t>
  </si>
  <si>
    <t>Employee_117</t>
  </si>
  <si>
    <t>4/26/2020</t>
  </si>
  <si>
    <t>Employee_118</t>
  </si>
  <si>
    <t>4/27/2020</t>
  </si>
  <si>
    <t>Employee_119</t>
  </si>
  <si>
    <t>4/28/2020</t>
  </si>
  <si>
    <t>EMP120</t>
  </si>
  <si>
    <t>Employee_120</t>
  </si>
  <si>
    <t>4/29/2020</t>
  </si>
  <si>
    <t>EMP121</t>
  </si>
  <si>
    <t>Employee_121</t>
  </si>
  <si>
    <t>4/30/2020</t>
  </si>
  <si>
    <t>EMP122</t>
  </si>
  <si>
    <t>Employee_122</t>
  </si>
  <si>
    <t>EMP123</t>
  </si>
  <si>
    <t>Employee_123</t>
  </si>
  <si>
    <t>EMP124</t>
  </si>
  <si>
    <t>Employee_124</t>
  </si>
  <si>
    <t>EMP125</t>
  </si>
  <si>
    <t>Employee_125</t>
  </si>
  <si>
    <t>EMP126</t>
  </si>
  <si>
    <t>Employee_126</t>
  </si>
  <si>
    <t>EMP127</t>
  </si>
  <si>
    <t>Employee_127</t>
  </si>
  <si>
    <t>EMP128</t>
  </si>
  <si>
    <t>Employee_128</t>
  </si>
  <si>
    <t>EMP129</t>
  </si>
  <si>
    <t>Employee_129</t>
  </si>
  <si>
    <t>EMP130</t>
  </si>
  <si>
    <t>Employee_130</t>
  </si>
  <si>
    <t>EMP131</t>
  </si>
  <si>
    <t>Employee_131</t>
  </si>
  <si>
    <t>EMP132</t>
  </si>
  <si>
    <t>Employee_132</t>
  </si>
  <si>
    <t>EMP133</t>
  </si>
  <si>
    <t>Employee_133</t>
  </si>
  <si>
    <t>EMP134</t>
  </si>
  <si>
    <t>Employee_134</t>
  </si>
  <si>
    <t>5/13/2020</t>
  </si>
  <si>
    <t>EMP135</t>
  </si>
  <si>
    <t>Employee_135</t>
  </si>
  <si>
    <t>5/14/2020</t>
  </si>
  <si>
    <t>EMP136</t>
  </si>
  <si>
    <t>Employee_136</t>
  </si>
  <si>
    <t>5/15/2020</t>
  </si>
  <si>
    <t>EMP137</t>
  </si>
  <si>
    <t>Employee_137</t>
  </si>
  <si>
    <t>5/16/2020</t>
  </si>
  <si>
    <t>EMP138</t>
  </si>
  <si>
    <t>Employee_138</t>
  </si>
  <si>
    <t>5/17/2020</t>
  </si>
  <si>
    <t>EMP139</t>
  </si>
  <si>
    <t>Employee_139</t>
  </si>
  <si>
    <t>5/18/2020</t>
  </si>
  <si>
    <t>EMP140</t>
  </si>
  <si>
    <t>Employee_140</t>
  </si>
  <si>
    <t>5/19/2020</t>
  </si>
  <si>
    <t>EMP141</t>
  </si>
  <si>
    <t>Employee_141</t>
  </si>
  <si>
    <t>5/20/2020</t>
  </si>
  <si>
    <t>EMP142</t>
  </si>
  <si>
    <t>Employee_142</t>
  </si>
  <si>
    <t>5/21/2020</t>
  </si>
  <si>
    <t>EMP143</t>
  </si>
  <si>
    <t>Employee_143</t>
  </si>
  <si>
    <t>5/22/2020</t>
  </si>
  <si>
    <t>EMP144</t>
  </si>
  <si>
    <t>Employee_144</t>
  </si>
  <si>
    <t>5/23/2020</t>
  </si>
  <si>
    <t>EMP145</t>
  </si>
  <si>
    <t>Employee_145</t>
  </si>
  <si>
    <t>5/24/2020</t>
  </si>
  <si>
    <t>EMP146</t>
  </si>
  <si>
    <t>Employee_146</t>
  </si>
  <si>
    <t>5/25/2020</t>
  </si>
  <si>
    <t>EMP147</t>
  </si>
  <si>
    <t>Employee_147</t>
  </si>
  <si>
    <t>5/26/2020</t>
  </si>
  <si>
    <t>EMP148</t>
  </si>
  <si>
    <t>Employee_148</t>
  </si>
  <si>
    <t>5/27/2020</t>
  </si>
  <si>
    <t>EMP149</t>
  </si>
  <si>
    <t>Employee_149</t>
  </si>
  <si>
    <t>5/28/2020</t>
  </si>
  <si>
    <t>EMP150</t>
  </si>
  <si>
    <t>Employee_150</t>
  </si>
  <si>
    <t>5/29/2020</t>
  </si>
  <si>
    <t>EMP151</t>
  </si>
  <si>
    <t>Employee_151</t>
  </si>
  <si>
    <t>5/30/2020</t>
  </si>
  <si>
    <t>EMP152</t>
  </si>
  <si>
    <t>Employee_152</t>
  </si>
  <si>
    <t>5/31/2020</t>
  </si>
  <si>
    <t>EMP153</t>
  </si>
  <si>
    <t>Employee_153</t>
  </si>
  <si>
    <t>EMP154</t>
  </si>
  <si>
    <t>Employee_154</t>
  </si>
  <si>
    <t>EMP155</t>
  </si>
  <si>
    <t>Employee_155</t>
  </si>
  <si>
    <t>EMP156</t>
  </si>
  <si>
    <t>Employee_156</t>
  </si>
  <si>
    <t>EMP157</t>
  </si>
  <si>
    <t>Employee_157</t>
  </si>
  <si>
    <t>EMP158</t>
  </si>
  <si>
    <t>Employee_158</t>
  </si>
  <si>
    <t>EMP159</t>
  </si>
  <si>
    <t>Employee_159</t>
  </si>
  <si>
    <t>EMP160</t>
  </si>
  <si>
    <t>Employee_160</t>
  </si>
  <si>
    <t>EMP161</t>
  </si>
  <si>
    <t>Employee_161</t>
  </si>
  <si>
    <t>EMP162</t>
  </si>
  <si>
    <t>Employee_162</t>
  </si>
  <si>
    <t>EMP163</t>
  </si>
  <si>
    <t>Employee_163</t>
  </si>
  <si>
    <t>EMP164</t>
  </si>
  <si>
    <t>Employee_164</t>
  </si>
  <si>
    <t>EMP165</t>
  </si>
  <si>
    <t>Employee_165</t>
  </si>
  <si>
    <t>6/13/2020</t>
  </si>
  <si>
    <t>EMP166</t>
  </si>
  <si>
    <t>Employee_166</t>
  </si>
  <si>
    <t>6/14/2020</t>
  </si>
  <si>
    <t>EMP167</t>
  </si>
  <si>
    <t>Employee_167</t>
  </si>
  <si>
    <t>6/15/2020</t>
  </si>
  <si>
    <t>EMP168</t>
  </si>
  <si>
    <t>Employee_168</t>
  </si>
  <si>
    <t>6/16/2020</t>
  </si>
  <si>
    <t>EMP169</t>
  </si>
  <si>
    <t>Employee_169</t>
  </si>
  <si>
    <t>6/17/2020</t>
  </si>
  <si>
    <t>EMP170</t>
  </si>
  <si>
    <t>Employee_170</t>
  </si>
  <si>
    <t>6/18/2020</t>
  </si>
  <si>
    <t>EMP171</t>
  </si>
  <si>
    <t>Employee_171</t>
  </si>
  <si>
    <t>6/19/2020</t>
  </si>
  <si>
    <t>EMP172</t>
  </si>
  <si>
    <t>Employee_172</t>
  </si>
  <si>
    <t>6/20/2020</t>
  </si>
  <si>
    <t>EMP173</t>
  </si>
  <si>
    <t>Employee_173</t>
  </si>
  <si>
    <t>6/21/2020</t>
  </si>
  <si>
    <t>EMP174</t>
  </si>
  <si>
    <t>Employee_174</t>
  </si>
  <si>
    <t>6/22/2020</t>
  </si>
  <si>
    <t>EMP175</t>
  </si>
  <si>
    <t>Employee_175</t>
  </si>
  <si>
    <t>6/23/2020</t>
  </si>
  <si>
    <t>EMP176</t>
  </si>
  <si>
    <t>Employee_176</t>
  </si>
  <si>
    <t>6/24/2020</t>
  </si>
  <si>
    <t>EMP177</t>
  </si>
  <si>
    <t>Employee_177</t>
  </si>
  <si>
    <t>6/25/2020</t>
  </si>
  <si>
    <t>EMP178</t>
  </si>
  <si>
    <t>Employee_178</t>
  </si>
  <si>
    <t>6/26/2020</t>
  </si>
  <si>
    <t>EMP179</t>
  </si>
  <si>
    <t>Employee_179</t>
  </si>
  <si>
    <t>6/27/2020</t>
  </si>
  <si>
    <t>EMP180</t>
  </si>
  <si>
    <t>Employee_180</t>
  </si>
  <si>
    <t>6/28/2020</t>
  </si>
  <si>
    <t>EMP181</t>
  </si>
  <si>
    <t>Employee_181</t>
  </si>
  <si>
    <t>6/29/2020</t>
  </si>
  <si>
    <t>EMP182</t>
  </si>
  <si>
    <t>Employee_182</t>
  </si>
  <si>
    <t>6/30/2020</t>
  </si>
  <si>
    <t>EMP183</t>
  </si>
  <si>
    <t>Employee_183</t>
  </si>
  <si>
    <t>EMP184</t>
  </si>
  <si>
    <t>Employee_184</t>
  </si>
  <si>
    <t>EMP185</t>
  </si>
  <si>
    <t>Employee_185</t>
  </si>
  <si>
    <t>EMP186</t>
  </si>
  <si>
    <t>Employee_186</t>
  </si>
  <si>
    <t>EMP187</t>
  </si>
  <si>
    <t>Employee_187</t>
  </si>
  <si>
    <t>EMP188</t>
  </si>
  <si>
    <t>Employee_188</t>
  </si>
  <si>
    <t>EMP189</t>
  </si>
  <si>
    <t>Employee_189</t>
  </si>
  <si>
    <t>EMP190</t>
  </si>
  <si>
    <t>Employee_190</t>
  </si>
  <si>
    <t>EMP191</t>
  </si>
  <si>
    <t>Employee_191</t>
  </si>
  <si>
    <t>EMP192</t>
  </si>
  <si>
    <t>Employee_192</t>
  </si>
  <si>
    <t>EMP193</t>
  </si>
  <si>
    <t>Employee_193</t>
  </si>
  <si>
    <t>EMP194</t>
  </si>
  <si>
    <t>Employee_194</t>
  </si>
  <si>
    <t>EMP195</t>
  </si>
  <si>
    <t>Employee_195</t>
  </si>
  <si>
    <t>7/13/2020</t>
  </si>
  <si>
    <t>EMP196</t>
  </si>
  <si>
    <t>Employee_196</t>
  </si>
  <si>
    <t>7/14/2020</t>
  </si>
  <si>
    <t>EMP197</t>
  </si>
  <si>
    <t>Employee_197</t>
  </si>
  <si>
    <t>7/15/2020</t>
  </si>
  <si>
    <t>EMP198</t>
  </si>
  <si>
    <t>Employee_198</t>
  </si>
  <si>
    <t>7/16/2020</t>
  </si>
  <si>
    <t>EMP199</t>
  </si>
  <si>
    <t>Employee_199</t>
  </si>
  <si>
    <t>7/17/2020</t>
  </si>
  <si>
    <t>EMP200</t>
  </si>
  <si>
    <t>Employee_200</t>
  </si>
  <si>
    <t>7/18/2020</t>
  </si>
  <si>
    <t>EMP201</t>
  </si>
  <si>
    <t>Employee_201</t>
  </si>
  <si>
    <t>7/19/2020</t>
  </si>
  <si>
    <t>EMP202</t>
  </si>
  <si>
    <t>Employee_202</t>
  </si>
  <si>
    <t>7/20/2020</t>
  </si>
  <si>
    <t>EMP203</t>
  </si>
  <si>
    <t>Employee_203</t>
  </si>
  <si>
    <t>7/21/2020</t>
  </si>
  <si>
    <t>EMP204</t>
  </si>
  <si>
    <t>Employee_204</t>
  </si>
  <si>
    <t>7/22/2020</t>
  </si>
  <si>
    <t>EMP205</t>
  </si>
  <si>
    <t>Employee_205</t>
  </si>
  <si>
    <t>7/23/2020</t>
  </si>
  <si>
    <t>EMP206</t>
  </si>
  <si>
    <t>Employee_206</t>
  </si>
  <si>
    <t>7/24/2020</t>
  </si>
  <si>
    <t>EMP207</t>
  </si>
  <si>
    <t>Employee_207</t>
  </si>
  <si>
    <t>7/25/2020</t>
  </si>
  <si>
    <t>EMP208</t>
  </si>
  <si>
    <t>Employee_208</t>
  </si>
  <si>
    <t>7/26/2020</t>
  </si>
  <si>
    <t>EMP209</t>
  </si>
  <si>
    <t>Employee_209</t>
  </si>
  <si>
    <t>7/27/2020</t>
  </si>
  <si>
    <t>EMP210</t>
  </si>
  <si>
    <t>Employee_210</t>
  </si>
  <si>
    <t>7/28/2020</t>
  </si>
  <si>
    <t>EMP211</t>
  </si>
  <si>
    <t>Employee_211</t>
  </si>
  <si>
    <t>7/29/2020</t>
  </si>
  <si>
    <t>EMP212</t>
  </si>
  <si>
    <t>Employee_212</t>
  </si>
  <si>
    <t>7/30/2020</t>
  </si>
  <si>
    <t>EMP213</t>
  </si>
  <si>
    <t>Employee_213</t>
  </si>
  <si>
    <t>7/31/2020</t>
  </si>
  <si>
    <t>EMP214</t>
  </si>
  <si>
    <t>Employee_214</t>
  </si>
  <si>
    <t>EMP215</t>
  </si>
  <si>
    <t>Employee_215</t>
  </si>
  <si>
    <t>EMP216</t>
  </si>
  <si>
    <t>Employee_216</t>
  </si>
  <si>
    <t>EMP217</t>
  </si>
  <si>
    <t>Employee_217</t>
  </si>
  <si>
    <t>EMP218</t>
  </si>
  <si>
    <t>Employee_218</t>
  </si>
  <si>
    <t>EMP219</t>
  </si>
  <si>
    <t>Employee_219</t>
  </si>
  <si>
    <t>EMP220</t>
  </si>
  <si>
    <t>Employee_220</t>
  </si>
  <si>
    <t>EMP221</t>
  </si>
  <si>
    <t>Employee_221</t>
  </si>
  <si>
    <t>EMP222</t>
  </si>
  <si>
    <t>Employee_222</t>
  </si>
  <si>
    <t>EMP223</t>
  </si>
  <si>
    <t>Employee_223</t>
  </si>
  <si>
    <t>EMP224</t>
  </si>
  <si>
    <t>Employee_224</t>
  </si>
  <si>
    <t>EMP225</t>
  </si>
  <si>
    <t>Employee_225</t>
  </si>
  <si>
    <t>EMP226</t>
  </si>
  <si>
    <t>Employee_226</t>
  </si>
  <si>
    <t>8/13/2020</t>
  </si>
  <si>
    <t>EMP227</t>
  </si>
  <si>
    <t>Employee_227</t>
  </si>
  <si>
    <t>8/14/2020</t>
  </si>
  <si>
    <t>EMP228</t>
  </si>
  <si>
    <t>Employee_228</t>
  </si>
  <si>
    <t>8/15/2020</t>
  </si>
  <si>
    <t>EMP229</t>
  </si>
  <si>
    <t>Employee_229</t>
  </si>
  <si>
    <t>8/16/2020</t>
  </si>
  <si>
    <t>EMP230</t>
  </si>
  <si>
    <t>Employee_230</t>
  </si>
  <si>
    <t>8/17/2020</t>
  </si>
  <si>
    <t>EMP231</t>
  </si>
  <si>
    <t>Employee_231</t>
  </si>
  <si>
    <t>8/18/2020</t>
  </si>
  <si>
    <t>EMP232</t>
  </si>
  <si>
    <t>Employee_232</t>
  </si>
  <si>
    <t>8/19/2020</t>
  </si>
  <si>
    <t>EMP233</t>
  </si>
  <si>
    <t>Employee_233</t>
  </si>
  <si>
    <t>8/20/2020</t>
  </si>
  <si>
    <t>EMP234</t>
  </si>
  <si>
    <t>Employee_234</t>
  </si>
  <si>
    <t>8/21/2020</t>
  </si>
  <si>
    <t>EMP235</t>
  </si>
  <si>
    <t>Employee_235</t>
  </si>
  <si>
    <t>8/22/2020</t>
  </si>
  <si>
    <t>EMP236</t>
  </si>
  <si>
    <t>Employee_236</t>
  </si>
  <si>
    <t>8/23/2020</t>
  </si>
  <si>
    <t>EMP237</t>
  </si>
  <si>
    <t>Employee_237</t>
  </si>
  <si>
    <t>8/24/2020</t>
  </si>
  <si>
    <t>EMP238</t>
  </si>
  <si>
    <t>Employee_238</t>
  </si>
  <si>
    <t>8/25/2020</t>
  </si>
  <si>
    <t>EMP239</t>
  </si>
  <si>
    <t>Employee_239</t>
  </si>
  <si>
    <t>8/26/2020</t>
  </si>
  <si>
    <t>EMP240</t>
  </si>
  <si>
    <t>Employee_240</t>
  </si>
  <si>
    <t>8/27/2020</t>
  </si>
  <si>
    <t>EMP241</t>
  </si>
  <si>
    <t>Employee_241</t>
  </si>
  <si>
    <t>8/28/2020</t>
  </si>
  <si>
    <t>EMP242</t>
  </si>
  <si>
    <t>Employee_242</t>
  </si>
  <si>
    <t>8/29/2020</t>
  </si>
  <si>
    <t>EMP243</t>
  </si>
  <si>
    <t>Employee_243</t>
  </si>
  <si>
    <t>8/30/2020</t>
  </si>
  <si>
    <t>EMP244</t>
  </si>
  <si>
    <t>Employee_244</t>
  </si>
  <si>
    <t>8/31/2020</t>
  </si>
  <si>
    <t>EMP245</t>
  </si>
  <si>
    <t>Employee_245</t>
  </si>
  <si>
    <t>EMP246</t>
  </si>
  <si>
    <t>Employee_246</t>
  </si>
  <si>
    <t>EMP247</t>
  </si>
  <si>
    <t>Employee_247</t>
  </si>
  <si>
    <t>EMP248</t>
  </si>
  <si>
    <t>Employee_248</t>
  </si>
  <si>
    <t>EMP249</t>
  </si>
  <si>
    <t>Employee_249</t>
  </si>
  <si>
    <t>EMP250</t>
  </si>
  <si>
    <t>Employee_250</t>
  </si>
  <si>
    <t>EMP251</t>
  </si>
  <si>
    <t>Employee_251</t>
  </si>
  <si>
    <t>EMP252</t>
  </si>
  <si>
    <t>Employee_252</t>
  </si>
  <si>
    <t>EMP253</t>
  </si>
  <si>
    <t>Employee_253</t>
  </si>
  <si>
    <t>EMP254</t>
  </si>
  <si>
    <t>Employee_254</t>
  </si>
  <si>
    <t>EMP255</t>
  </si>
  <si>
    <t>Employee_255</t>
  </si>
  <si>
    <t>EMP256</t>
  </si>
  <si>
    <t>Employee_256</t>
  </si>
  <si>
    <t>EMP257</t>
  </si>
  <si>
    <t>Employee_257</t>
  </si>
  <si>
    <t>9/13/2020</t>
  </si>
  <si>
    <t>EMP258</t>
  </si>
  <si>
    <t>Employee_258</t>
  </si>
  <si>
    <t>9/14/2020</t>
  </si>
  <si>
    <t>EMP259</t>
  </si>
  <si>
    <t>Employee_259</t>
  </si>
  <si>
    <t>9/15/2020</t>
  </si>
  <si>
    <t>EMP260</t>
  </si>
  <si>
    <t>Employee_260</t>
  </si>
  <si>
    <t>9/16/2020</t>
  </si>
  <si>
    <t>EMP261</t>
  </si>
  <si>
    <t>Employee_261</t>
  </si>
  <si>
    <t>9/17/2020</t>
  </si>
  <si>
    <t>EMP262</t>
  </si>
  <si>
    <t>Employee_262</t>
  </si>
  <si>
    <t>9/18/2020</t>
  </si>
  <si>
    <t>EMP263</t>
  </si>
  <si>
    <t>Employee_263</t>
  </si>
  <si>
    <t>9/19/2020</t>
  </si>
  <si>
    <t>EMP264</t>
  </si>
  <si>
    <t>Employee_264</t>
  </si>
  <si>
    <t>9/20/2020</t>
  </si>
  <si>
    <t>EMP265</t>
  </si>
  <si>
    <t>Employee_265</t>
  </si>
  <si>
    <t>9/21/2020</t>
  </si>
  <si>
    <t>EMP266</t>
  </si>
  <si>
    <t>Employee_266</t>
  </si>
  <si>
    <t>9/22/2020</t>
  </si>
  <si>
    <t>EMP267</t>
  </si>
  <si>
    <t>Employee_267</t>
  </si>
  <si>
    <t>9/23/2020</t>
  </si>
  <si>
    <t>EMP268</t>
  </si>
  <si>
    <t>Employee_268</t>
  </si>
  <si>
    <t>9/24/2020</t>
  </si>
  <si>
    <t>EMP269</t>
  </si>
  <si>
    <t>Employee_269</t>
  </si>
  <si>
    <t>9/25/2020</t>
  </si>
  <si>
    <t>EMP270</t>
  </si>
  <si>
    <t>Employee_270</t>
  </si>
  <si>
    <t>9/26/2020</t>
  </si>
  <si>
    <t>EMP271</t>
  </si>
  <si>
    <t>Employee_271</t>
  </si>
  <si>
    <t>9/27/2020</t>
  </si>
  <si>
    <t>EMP272</t>
  </si>
  <si>
    <t>Employee_272</t>
  </si>
  <si>
    <t>9/28/2020</t>
  </si>
  <si>
    <t>EMP273</t>
  </si>
  <si>
    <t>Employee_273</t>
  </si>
  <si>
    <t>9/29/2020</t>
  </si>
  <si>
    <t>EMP274</t>
  </si>
  <si>
    <t>Employee_274</t>
  </si>
  <si>
    <t>9/30/2020</t>
  </si>
  <si>
    <t>EMP275</t>
  </si>
  <si>
    <t>Employee_275</t>
  </si>
  <si>
    <t>EMP276</t>
  </si>
  <si>
    <t>Employee_276</t>
  </si>
  <si>
    <t>EMP277</t>
  </si>
  <si>
    <t>Employee_277</t>
  </si>
  <si>
    <t>EMP278</t>
  </si>
  <si>
    <t>Employee_278</t>
  </si>
  <si>
    <t>EMP279</t>
  </si>
  <si>
    <t>Employee_279</t>
  </si>
  <si>
    <t>EMP280</t>
  </si>
  <si>
    <t>Employee_280</t>
  </si>
  <si>
    <t>EMP281</t>
  </si>
  <si>
    <t>Employee_281</t>
  </si>
  <si>
    <t>EMP282</t>
  </si>
  <si>
    <t>Employee_282</t>
  </si>
  <si>
    <t>EMP283</t>
  </si>
  <si>
    <t>Employee_283</t>
  </si>
  <si>
    <t>EMP284</t>
  </si>
  <si>
    <t>Employee_284</t>
  </si>
  <si>
    <t>EMP285</t>
  </si>
  <si>
    <t>Employee_285</t>
  </si>
  <si>
    <t>EMP286</t>
  </si>
  <si>
    <t>Employee_286</t>
  </si>
  <si>
    <t>EMP287</t>
  </si>
  <si>
    <t>Employee_287</t>
  </si>
  <si>
    <t>10/13/2020</t>
  </si>
  <si>
    <t>EMP288</t>
  </si>
  <si>
    <t>Employee_288</t>
  </si>
  <si>
    <t>10/14/2020</t>
  </si>
  <si>
    <t>EMP289</t>
  </si>
  <si>
    <t>Employee_289</t>
  </si>
  <si>
    <t>10/15/2020</t>
  </si>
  <si>
    <t>EMP290</t>
  </si>
  <si>
    <t>Employee_290</t>
  </si>
  <si>
    <t>10/16/2020</t>
  </si>
  <si>
    <t>EMP291</t>
  </si>
  <si>
    <t>Employee_291</t>
  </si>
  <si>
    <t>10/17/2020</t>
  </si>
  <si>
    <t>EMP292</t>
  </si>
  <si>
    <t>Employee_292</t>
  </si>
  <si>
    <t>10/18/2020</t>
  </si>
  <si>
    <t>EMP293</t>
  </si>
  <si>
    <t>Employee_293</t>
  </si>
  <si>
    <t>10/19/2020</t>
  </si>
  <si>
    <t>EMP294</t>
  </si>
  <si>
    <t>Employee_294</t>
  </si>
  <si>
    <t>10/20/2020</t>
  </si>
  <si>
    <t>EMP295</t>
  </si>
  <si>
    <t>Employee_295</t>
  </si>
  <si>
    <t>10/21/2020</t>
  </si>
  <si>
    <t>EMP296</t>
  </si>
  <si>
    <t>Employee_296</t>
  </si>
  <si>
    <t>10/22/2020</t>
  </si>
  <si>
    <t>EMP297</t>
  </si>
  <si>
    <t>Employee_297</t>
  </si>
  <si>
    <t>10/23/2020</t>
  </si>
  <si>
    <t>EMP298</t>
  </si>
  <si>
    <t>Employee_298</t>
  </si>
  <si>
    <t>10/24/2020</t>
  </si>
  <si>
    <t>EMP299</t>
  </si>
  <si>
    <t>Employee_299</t>
  </si>
  <si>
    <t>10/25/2020</t>
  </si>
  <si>
    <t>EMP300</t>
  </si>
  <si>
    <t>Employee_300</t>
  </si>
  <si>
    <t>10/26/2020</t>
  </si>
  <si>
    <t>EMP301</t>
  </si>
  <si>
    <t>Employee_301</t>
  </si>
  <si>
    <t>10/27/2020</t>
  </si>
  <si>
    <t>EMP302</t>
  </si>
  <si>
    <t>Employee_302</t>
  </si>
  <si>
    <t>10/28/2020</t>
  </si>
  <si>
    <t>EMP303</t>
  </si>
  <si>
    <t>Employee_303</t>
  </si>
  <si>
    <t>10/29/2020</t>
  </si>
  <si>
    <t>EMP304</t>
  </si>
  <si>
    <t>Employee_304</t>
  </si>
  <si>
    <t>10/30/2020</t>
  </si>
  <si>
    <t>EMP305</t>
  </si>
  <si>
    <t>Employee_305</t>
  </si>
  <si>
    <t>10/31/2020</t>
  </si>
  <si>
    <t>EMP306</t>
  </si>
  <si>
    <t>Employee_306</t>
  </si>
  <si>
    <t>EMP307</t>
  </si>
  <si>
    <t>Employee_307</t>
  </si>
  <si>
    <t>EMP308</t>
  </si>
  <si>
    <t>Employee_308</t>
  </si>
  <si>
    <t>EMP309</t>
  </si>
  <si>
    <t>Employee_309</t>
  </si>
  <si>
    <t>EMP310</t>
  </si>
  <si>
    <t>Employee_310</t>
  </si>
  <si>
    <t>EMP311</t>
  </si>
  <si>
    <t>Employee_311</t>
  </si>
  <si>
    <t>EMP312</t>
  </si>
  <si>
    <t>Employee_312</t>
  </si>
  <si>
    <t>EMP313</t>
  </si>
  <si>
    <t>Employee_313</t>
  </si>
  <si>
    <t>EMP314</t>
  </si>
  <si>
    <t>Employee_314</t>
  </si>
  <si>
    <t>EMP315</t>
  </si>
  <si>
    <t>Employee_315</t>
  </si>
  <si>
    <t>EMP316</t>
  </si>
  <si>
    <t>Employee_316</t>
  </si>
  <si>
    <t>EMP317</t>
  </si>
  <si>
    <t>Employee_317</t>
  </si>
  <si>
    <t>EMP318</t>
  </si>
  <si>
    <t>Employee_318</t>
  </si>
  <si>
    <t>11/13/2020</t>
  </si>
  <si>
    <t>EMP319</t>
  </si>
  <si>
    <t>Employee_319</t>
  </si>
  <si>
    <t>11/14/2020</t>
  </si>
  <si>
    <t>EMP320</t>
  </si>
  <si>
    <t>Employee_320</t>
  </si>
  <si>
    <t>11/15/2020</t>
  </si>
  <si>
    <t>EMP321</t>
  </si>
  <si>
    <t>Employee_321</t>
  </si>
  <si>
    <t>11/16/2020</t>
  </si>
  <si>
    <t>EMP322</t>
  </si>
  <si>
    <t>Employee_322</t>
  </si>
  <si>
    <t>11/17/2020</t>
  </si>
  <si>
    <t>EMP323</t>
  </si>
  <si>
    <t>Employee_323</t>
  </si>
  <si>
    <t>11/18/2020</t>
  </si>
  <si>
    <t>EMP324</t>
  </si>
  <si>
    <t>Employee_324</t>
  </si>
  <si>
    <t>11/19/2020</t>
  </si>
  <si>
    <t>EMP325</t>
  </si>
  <si>
    <t>Employee_325</t>
  </si>
  <si>
    <t>11/20/2020</t>
  </si>
  <si>
    <t>EMP326</t>
  </si>
  <si>
    <t>Employee_326</t>
  </si>
  <si>
    <t>11/21/2020</t>
  </si>
  <si>
    <t>EMP327</t>
  </si>
  <si>
    <t>Employee_327</t>
  </si>
  <si>
    <t>11/22/2020</t>
  </si>
  <si>
    <t>EMP328</t>
  </si>
  <si>
    <t>Employee_328</t>
  </si>
  <si>
    <t>11/23/2020</t>
  </si>
  <si>
    <t>EMP329</t>
  </si>
  <si>
    <t>Employee_329</t>
  </si>
  <si>
    <t>11/24/2020</t>
  </si>
  <si>
    <t>EMP330</t>
  </si>
  <si>
    <t>Employee_330</t>
  </si>
  <si>
    <t>11/25/2020</t>
  </si>
  <si>
    <t>EMP331</t>
  </si>
  <si>
    <t>Employee_331</t>
  </si>
  <si>
    <t>11/26/2020</t>
  </si>
  <si>
    <t>EMP332</t>
  </si>
  <si>
    <t>Employee_332</t>
  </si>
  <si>
    <t>11/27/2020</t>
  </si>
  <si>
    <t>EMP333</t>
  </si>
  <si>
    <t>Employee_333</t>
  </si>
  <si>
    <t>11/28/2020</t>
  </si>
  <si>
    <t>EMP334</t>
  </si>
  <si>
    <t>Employee_334</t>
  </si>
  <si>
    <t>11/29/2020</t>
  </si>
  <si>
    <t>EMP335</t>
  </si>
  <si>
    <t>Employee_335</t>
  </si>
  <si>
    <t>11/30/2020</t>
  </si>
  <si>
    <t>EMP336</t>
  </si>
  <si>
    <t>Employee_336</t>
  </si>
  <si>
    <t>EMP337</t>
  </si>
  <si>
    <t>Employee_337</t>
  </si>
  <si>
    <t>EMP338</t>
  </si>
  <si>
    <t>Employee_338</t>
  </si>
  <si>
    <t>EMP339</t>
  </si>
  <si>
    <t>Employee_339</t>
  </si>
  <si>
    <t>EMP340</t>
  </si>
  <si>
    <t>Employee_340</t>
  </si>
  <si>
    <t>EMP341</t>
  </si>
  <si>
    <t>Employee_341</t>
  </si>
  <si>
    <t>EMP342</t>
  </si>
  <si>
    <t>Employee_342</t>
  </si>
  <si>
    <t>EMP343</t>
  </si>
  <si>
    <t>Employee_343</t>
  </si>
  <si>
    <t>EMP344</t>
  </si>
  <si>
    <t>Employee_344</t>
  </si>
  <si>
    <t>EMP345</t>
  </si>
  <si>
    <t>Employee_345</t>
  </si>
  <si>
    <t>EMP346</t>
  </si>
  <si>
    <t>Employee_346</t>
  </si>
  <si>
    <t>EMP347</t>
  </si>
  <si>
    <t>Employee_347</t>
  </si>
  <si>
    <t>EMP348</t>
  </si>
  <si>
    <t>Employee_348</t>
  </si>
  <si>
    <t>12/13/2020</t>
  </si>
  <si>
    <t>EMP349</t>
  </si>
  <si>
    <t>Employee_349</t>
  </si>
  <si>
    <t>12/14/2020</t>
  </si>
  <si>
    <t>EMP350</t>
  </si>
  <si>
    <t>Employee_350</t>
  </si>
  <si>
    <t>12/15/2020</t>
  </si>
  <si>
    <t>EMP351</t>
  </si>
  <si>
    <t>Employee_351</t>
  </si>
  <si>
    <t>12/16/2020</t>
  </si>
  <si>
    <t>EMP352</t>
  </si>
  <si>
    <t>Employee_352</t>
  </si>
  <si>
    <t>12/17/2020</t>
  </si>
  <si>
    <t>EMP353</t>
  </si>
  <si>
    <t>Employee_353</t>
  </si>
  <si>
    <t>12/18/2020</t>
  </si>
  <si>
    <t>EMP354</t>
  </si>
  <si>
    <t>Employee_354</t>
  </si>
  <si>
    <t>12/19/2020</t>
  </si>
  <si>
    <t>EMP355</t>
  </si>
  <si>
    <t>Employee_355</t>
  </si>
  <si>
    <t>12/20/2020</t>
  </si>
  <si>
    <t>EMP356</t>
  </si>
  <si>
    <t>Employee_356</t>
  </si>
  <si>
    <t>12/21/2020</t>
  </si>
  <si>
    <t>EMP357</t>
  </si>
  <si>
    <t>Employee_357</t>
  </si>
  <si>
    <t>12/22/2020</t>
  </si>
  <si>
    <t>EMP358</t>
  </si>
  <si>
    <t>Employee_358</t>
  </si>
  <si>
    <t>12/23/2020</t>
  </si>
  <si>
    <t>EMP359</t>
  </si>
  <si>
    <t>Employee_359</t>
  </si>
  <si>
    <t>12/24/2020</t>
  </si>
  <si>
    <t>EMP360</t>
  </si>
  <si>
    <t>Employee_360</t>
  </si>
  <si>
    <t>12/25/2020</t>
  </si>
  <si>
    <t>EMP361</t>
  </si>
  <si>
    <t>Employee_361</t>
  </si>
  <si>
    <t>12/26/2020</t>
  </si>
  <si>
    <t>EMP362</t>
  </si>
  <si>
    <t>Employee_362</t>
  </si>
  <si>
    <t>12/27/2020</t>
  </si>
  <si>
    <t>EMP363</t>
  </si>
  <si>
    <t>Employee_363</t>
  </si>
  <si>
    <t>12/28/2020</t>
  </si>
  <si>
    <t>EMP364</t>
  </si>
  <si>
    <t>Employee_364</t>
  </si>
  <si>
    <t>12/29/2020</t>
  </si>
  <si>
    <t>EMP365</t>
  </si>
  <si>
    <t>Employee_365</t>
  </si>
  <si>
    <t>12/30/2020</t>
  </si>
  <si>
    <t>EMP366</t>
  </si>
  <si>
    <t>Employee_366</t>
  </si>
  <si>
    <t>12/31/2020</t>
  </si>
  <si>
    <t>EMP367</t>
  </si>
  <si>
    <t>Employee_367</t>
  </si>
  <si>
    <t>EMP368</t>
  </si>
  <si>
    <t>Employee_368</t>
  </si>
  <si>
    <t>EMP369</t>
  </si>
  <si>
    <t>Employee_369</t>
  </si>
  <si>
    <t>EMP370</t>
  </si>
  <si>
    <t>Employee_370</t>
  </si>
  <si>
    <t>EMP371</t>
  </si>
  <si>
    <t>Employee_371</t>
  </si>
  <si>
    <t>EMP372</t>
  </si>
  <si>
    <t>Employee_372</t>
  </si>
  <si>
    <t>EMP373</t>
  </si>
  <si>
    <t>Employee_373</t>
  </si>
  <si>
    <t>EMP374</t>
  </si>
  <si>
    <t>Employee_374</t>
  </si>
  <si>
    <t>EMP375</t>
  </si>
  <si>
    <t>Employee_375</t>
  </si>
  <si>
    <t>EMP376</t>
  </si>
  <si>
    <t>Employee_376</t>
  </si>
  <si>
    <t>EMP377</t>
  </si>
  <si>
    <t>Employee_377</t>
  </si>
  <si>
    <t>EMP378</t>
  </si>
  <si>
    <t>Employee_378</t>
  </si>
  <si>
    <t>EMP379</t>
  </si>
  <si>
    <t>Employee_379</t>
  </si>
  <si>
    <t>1/13/2021</t>
  </si>
  <si>
    <t>EMP380</t>
  </si>
  <si>
    <t>Employee_380</t>
  </si>
  <si>
    <t>1/14/2021</t>
  </si>
  <si>
    <t>EMP381</t>
  </si>
  <si>
    <t>Employee_381</t>
  </si>
  <si>
    <t>1/15/2021</t>
  </si>
  <si>
    <t>EMP382</t>
  </si>
  <si>
    <t>Employee_382</t>
  </si>
  <si>
    <t>1/16/2021</t>
  </si>
  <si>
    <t>EMP383</t>
  </si>
  <si>
    <t>Employee_383</t>
  </si>
  <si>
    <t>1/17/2021</t>
  </si>
  <si>
    <t>EMP384</t>
  </si>
  <si>
    <t>Employee_384</t>
  </si>
  <si>
    <t>1/18/2021</t>
  </si>
  <si>
    <t>EMP385</t>
  </si>
  <si>
    <t>Employee_385</t>
  </si>
  <si>
    <t>1/19/2021</t>
  </si>
  <si>
    <t>EMP386</t>
  </si>
  <si>
    <t>Employee_386</t>
  </si>
  <si>
    <t>1/20/2021</t>
  </si>
  <si>
    <t>EMP387</t>
  </si>
  <si>
    <t>Employee_387</t>
  </si>
  <si>
    <t>1/21/2021</t>
  </si>
  <si>
    <t>EMP388</t>
  </si>
  <si>
    <t>Employee_388</t>
  </si>
  <si>
    <t>1/22/2021</t>
  </si>
  <si>
    <t>EMP389</t>
  </si>
  <si>
    <t>Employee_389</t>
  </si>
  <si>
    <t>1/23/2021</t>
  </si>
  <si>
    <t>EMP390</t>
  </si>
  <si>
    <t>Employee_390</t>
  </si>
  <si>
    <t>1/24/2021</t>
  </si>
  <si>
    <t>EMP391</t>
  </si>
  <si>
    <t>Employee_391</t>
  </si>
  <si>
    <t>1/25/2021</t>
  </si>
  <si>
    <t>EMP392</t>
  </si>
  <si>
    <t>Employee_392</t>
  </si>
  <si>
    <t>1/26/2021</t>
  </si>
  <si>
    <t>EMP393</t>
  </si>
  <si>
    <t>Employee_393</t>
  </si>
  <si>
    <t>1/27/2021</t>
  </si>
  <si>
    <t>EMP394</t>
  </si>
  <si>
    <t>Employee_394</t>
  </si>
  <si>
    <t>1/28/2021</t>
  </si>
  <si>
    <t>EMP395</t>
  </si>
  <si>
    <t>Employee_395</t>
  </si>
  <si>
    <t>1/29/2021</t>
  </si>
  <si>
    <t>EMP396</t>
  </si>
  <si>
    <t>Employee_396</t>
  </si>
  <si>
    <t>1/30/2021</t>
  </si>
  <si>
    <t>EMP397</t>
  </si>
  <si>
    <t>Employee_397</t>
  </si>
  <si>
    <t>1/31/2021</t>
  </si>
  <si>
    <t>EMP398</t>
  </si>
  <si>
    <t>Employee_398</t>
  </si>
  <si>
    <t>EMP399</t>
  </si>
  <si>
    <t>Employee_399</t>
  </si>
  <si>
    <t>EMP400</t>
  </si>
  <si>
    <t>Employee_400</t>
  </si>
  <si>
    <t>EMP401</t>
  </si>
  <si>
    <t>Employee_401</t>
  </si>
  <si>
    <t>EMP402</t>
  </si>
  <si>
    <t>Employee_402</t>
  </si>
  <si>
    <t>EMP403</t>
  </si>
  <si>
    <t>Employee_403</t>
  </si>
  <si>
    <t>EMP404</t>
  </si>
  <si>
    <t>Employee_404</t>
  </si>
  <si>
    <t>EMP405</t>
  </si>
  <si>
    <t>Employee_405</t>
  </si>
  <si>
    <t>EMP406</t>
  </si>
  <si>
    <t>Employee_406</t>
  </si>
  <si>
    <t>EMP407</t>
  </si>
  <si>
    <t>Employee_407</t>
  </si>
  <si>
    <t>EMP408</t>
  </si>
  <si>
    <t>Employee_408</t>
  </si>
  <si>
    <t>EMP409</t>
  </si>
  <si>
    <t>Employee_409</t>
  </si>
  <si>
    <t>EMP410</t>
  </si>
  <si>
    <t>Employee_410</t>
  </si>
  <si>
    <t>2/13/2021</t>
  </si>
  <si>
    <t>EMP411</t>
  </si>
  <si>
    <t>Employee_411</t>
  </si>
  <si>
    <t>2/14/2021</t>
  </si>
  <si>
    <t>EMP412</t>
  </si>
  <si>
    <t>Employee_412</t>
  </si>
  <si>
    <t>2/15/2021</t>
  </si>
  <si>
    <t>EMP413</t>
  </si>
  <si>
    <t>Employee_413</t>
  </si>
  <si>
    <t>2/16/2021</t>
  </si>
  <si>
    <t>EMP414</t>
  </si>
  <si>
    <t>Employee_414</t>
  </si>
  <si>
    <t>2/17/2021</t>
  </si>
  <si>
    <t>EMP415</t>
  </si>
  <si>
    <t>Employee_415</t>
  </si>
  <si>
    <t>2/18/2021</t>
  </si>
  <si>
    <t>EMP416</t>
  </si>
  <si>
    <t>Employee_416</t>
  </si>
  <si>
    <t>2/19/2021</t>
  </si>
  <si>
    <t>EMP417</t>
  </si>
  <si>
    <t>Employee_417</t>
  </si>
  <si>
    <t>2/20/2021</t>
  </si>
  <si>
    <t>EMP418</t>
  </si>
  <si>
    <t>Employee_418</t>
  </si>
  <si>
    <t>2/21/2021</t>
  </si>
  <si>
    <t>EMP419</t>
  </si>
  <si>
    <t>Employee_419</t>
  </si>
  <si>
    <t>2/22/2021</t>
  </si>
  <si>
    <t>EMP420</t>
  </si>
  <si>
    <t>Employee_420</t>
  </si>
  <si>
    <t>2/23/2021</t>
  </si>
  <si>
    <t>EMP421</t>
  </si>
  <si>
    <t>Employee_421</t>
  </si>
  <si>
    <t>2/24/2021</t>
  </si>
  <si>
    <t>EMP422</t>
  </si>
  <si>
    <t>Employee_422</t>
  </si>
  <si>
    <t>2/25/2021</t>
  </si>
  <si>
    <t>EMP423</t>
  </si>
  <si>
    <t>Employee_423</t>
  </si>
  <si>
    <t>2/26/2021</t>
  </si>
  <si>
    <t>EMP424</t>
  </si>
  <si>
    <t>Employee_424</t>
  </si>
  <si>
    <t>2/27/2021</t>
  </si>
  <si>
    <t>EMP425</t>
  </si>
  <si>
    <t>Employee_425</t>
  </si>
  <si>
    <t>2/28/2021</t>
  </si>
  <si>
    <t>EMP426</t>
  </si>
  <si>
    <t>Employee_426</t>
  </si>
  <si>
    <t>EMP427</t>
  </si>
  <si>
    <t>Employee_427</t>
  </si>
  <si>
    <t>EMP428</t>
  </si>
  <si>
    <t>Employee_428</t>
  </si>
  <si>
    <t>EMP429</t>
  </si>
  <si>
    <t>Employee_429</t>
  </si>
  <si>
    <t>EMP430</t>
  </si>
  <si>
    <t>Employee_430</t>
  </si>
  <si>
    <t>EMP431</t>
  </si>
  <si>
    <t>Employee_431</t>
  </si>
  <si>
    <t>EMP432</t>
  </si>
  <si>
    <t>Employee_432</t>
  </si>
  <si>
    <t>EMP433</t>
  </si>
  <si>
    <t>Employee_433</t>
  </si>
  <si>
    <t>EMP434</t>
  </si>
  <si>
    <t>Employee_434</t>
  </si>
  <si>
    <t>EMP435</t>
  </si>
  <si>
    <t>Employee_435</t>
  </si>
  <si>
    <t>EMP436</t>
  </si>
  <si>
    <t>Employee_436</t>
  </si>
  <si>
    <t>EMP437</t>
  </si>
  <si>
    <t>Employee_437</t>
  </si>
  <si>
    <t>EMP438</t>
  </si>
  <si>
    <t>Employee_438</t>
  </si>
  <si>
    <t>3/13/2021</t>
  </si>
  <si>
    <t>EMP439</t>
  </si>
  <si>
    <t>Employee_439</t>
  </si>
  <si>
    <t>3/14/2021</t>
  </si>
  <si>
    <t>EMP440</t>
  </si>
  <si>
    <t>Employee_440</t>
  </si>
  <si>
    <t>3/15/2021</t>
  </si>
  <si>
    <t>EMP441</t>
  </si>
  <si>
    <t>Employee_441</t>
  </si>
  <si>
    <t>3/16/2021</t>
  </si>
  <si>
    <t>EMP442</t>
  </si>
  <si>
    <t>Employee_442</t>
  </si>
  <si>
    <t>3/17/2021</t>
  </si>
  <si>
    <t>EMP443</t>
  </si>
  <si>
    <t>Employee_443</t>
  </si>
  <si>
    <t>3/18/2021</t>
  </si>
  <si>
    <t>EMP444</t>
  </si>
  <si>
    <t>Employee_444</t>
  </si>
  <si>
    <t>3/19/2021</t>
  </si>
  <si>
    <t>EMP445</t>
  </si>
  <si>
    <t>Employee_445</t>
  </si>
  <si>
    <t>3/20/2021</t>
  </si>
  <si>
    <t>EMP446</t>
  </si>
  <si>
    <t>Employee_446</t>
  </si>
  <si>
    <t>3/21/2021</t>
  </si>
  <si>
    <t>EMP447</t>
  </si>
  <si>
    <t>Employee_447</t>
  </si>
  <si>
    <t>3/22/2021</t>
  </si>
  <si>
    <t>EMP448</t>
  </si>
  <si>
    <t>Employee_448</t>
  </si>
  <si>
    <t>3/23/2021</t>
  </si>
  <si>
    <t>EMP449</t>
  </si>
  <si>
    <t>Employee_449</t>
  </si>
  <si>
    <t>3/24/2021</t>
  </si>
  <si>
    <t>EMP450</t>
  </si>
  <si>
    <t>Employee_450</t>
  </si>
  <si>
    <t>3/25/2021</t>
  </si>
  <si>
    <t>EMP451</t>
  </si>
  <si>
    <t>Employee_451</t>
  </si>
  <si>
    <t>3/26/2021</t>
  </si>
  <si>
    <t>EMP452</t>
  </si>
  <si>
    <t>Employee_452</t>
  </si>
  <si>
    <t>3/27/2021</t>
  </si>
  <si>
    <t>EMP453</t>
  </si>
  <si>
    <t>Employee_453</t>
  </si>
  <si>
    <t>3/28/2021</t>
  </si>
  <si>
    <t>EMP454</t>
  </si>
  <si>
    <t>Employee_454</t>
  </si>
  <si>
    <t>3/29/2021</t>
  </si>
  <si>
    <t>EMP455</t>
  </si>
  <si>
    <t>Employee_455</t>
  </si>
  <si>
    <t>3/30/2021</t>
  </si>
  <si>
    <t>EMP456</t>
  </si>
  <si>
    <t>Employee_456</t>
  </si>
  <si>
    <t>3/31/2021</t>
  </si>
  <si>
    <t>EMP457</t>
  </si>
  <si>
    <t>Employee_457</t>
  </si>
  <si>
    <t>EMP458</t>
  </si>
  <si>
    <t>Employee_458</t>
  </si>
  <si>
    <t>EMP459</t>
  </si>
  <si>
    <t>Employee_459</t>
  </si>
  <si>
    <t>EMP460</t>
  </si>
  <si>
    <t>Employee_460</t>
  </si>
  <si>
    <t>EMP461</t>
  </si>
  <si>
    <t>Employee_461</t>
  </si>
  <si>
    <t>EMP462</t>
  </si>
  <si>
    <t>Employee_462</t>
  </si>
  <si>
    <t>EMP463</t>
  </si>
  <si>
    <t>Employee_463</t>
  </si>
  <si>
    <t>EMP464</t>
  </si>
  <si>
    <t>Employee_464</t>
  </si>
  <si>
    <t>EMP465</t>
  </si>
  <si>
    <t>Employee_465</t>
  </si>
  <si>
    <t>EMP466</t>
  </si>
  <si>
    <t>Employee_466</t>
  </si>
  <si>
    <t>EMP467</t>
  </si>
  <si>
    <t>Employee_467</t>
  </si>
  <si>
    <t>EMP468</t>
  </si>
  <si>
    <t>Employee_468</t>
  </si>
  <si>
    <t>EMP469</t>
  </si>
  <si>
    <t>Employee_469</t>
  </si>
  <si>
    <t>4/13/2021</t>
  </si>
  <si>
    <t>EMP470</t>
  </si>
  <si>
    <t>Employee_470</t>
  </si>
  <si>
    <t>4/14/2021</t>
  </si>
  <si>
    <t>EMP471</t>
  </si>
  <si>
    <t>Employee_471</t>
  </si>
  <si>
    <t>4/15/2021</t>
  </si>
  <si>
    <t>EMP472</t>
  </si>
  <si>
    <t>Employee_472</t>
  </si>
  <si>
    <t>4/16/2021</t>
  </si>
  <si>
    <t>EMP473</t>
  </si>
  <si>
    <t>Employee_473</t>
  </si>
  <si>
    <t>4/17/2021</t>
  </si>
  <si>
    <t>EMP474</t>
  </si>
  <si>
    <t>Employee_474</t>
  </si>
  <si>
    <t>4/18/2021</t>
  </si>
  <si>
    <t>EMP475</t>
  </si>
  <si>
    <t>Employee_475</t>
  </si>
  <si>
    <t>4/19/2021</t>
  </si>
  <si>
    <t>EMP476</t>
  </si>
  <si>
    <t>Employee_476</t>
  </si>
  <si>
    <t>4/20/2021</t>
  </si>
  <si>
    <t>EMP477</t>
  </si>
  <si>
    <t>Employee_477</t>
  </si>
  <si>
    <t>4/21/2021</t>
  </si>
  <si>
    <t>EMP478</t>
  </si>
  <si>
    <t>Employee_478</t>
  </si>
  <si>
    <t>4/22/2021</t>
  </si>
  <si>
    <t>EMP479</t>
  </si>
  <si>
    <t>Employee_479</t>
  </si>
  <si>
    <t>4/23/2021</t>
  </si>
  <si>
    <t>EMP480</t>
  </si>
  <si>
    <t>Employee_480</t>
  </si>
  <si>
    <t>4/24/2021</t>
  </si>
  <si>
    <t>EMP481</t>
  </si>
  <si>
    <t>Employee_481</t>
  </si>
  <si>
    <t>4/25/2021</t>
  </si>
  <si>
    <t>EMP482</t>
  </si>
  <si>
    <t>Employee_482</t>
  </si>
  <si>
    <t>4/26/2021</t>
  </si>
  <si>
    <t>EMP483</t>
  </si>
  <si>
    <t>Employee_483</t>
  </si>
  <si>
    <t>4/27/2021</t>
  </si>
  <si>
    <t>EMP484</t>
  </si>
  <si>
    <t>Employee_484</t>
  </si>
  <si>
    <t>4/28/2021</t>
  </si>
  <si>
    <t>EMP485</t>
  </si>
  <si>
    <t>Employee_485</t>
  </si>
  <si>
    <t>4/29/2021</t>
  </si>
  <si>
    <t>EMP486</t>
  </si>
  <si>
    <t>Employee_486</t>
  </si>
  <si>
    <t>4/30/2021</t>
  </si>
  <si>
    <t>EMP487</t>
  </si>
  <si>
    <t>Employee_487</t>
  </si>
  <si>
    <t>EMP488</t>
  </si>
  <si>
    <t>Employee_488</t>
  </si>
  <si>
    <t>EMP489</t>
  </si>
  <si>
    <t>Employee_489</t>
  </si>
  <si>
    <t>EMP490</t>
  </si>
  <si>
    <t>Employee_490</t>
  </si>
  <si>
    <t>EMP491</t>
  </si>
  <si>
    <t>Employee_491</t>
  </si>
  <si>
    <t>EMP492</t>
  </si>
  <si>
    <t>Employee_492</t>
  </si>
  <si>
    <t>EMP493</t>
  </si>
  <si>
    <t>Employee_493</t>
  </si>
  <si>
    <t>EMP494</t>
  </si>
  <si>
    <t>Employee_494</t>
  </si>
  <si>
    <t>EMP495</t>
  </si>
  <si>
    <t>Employee_495</t>
  </si>
  <si>
    <t>EMP496</t>
  </si>
  <si>
    <t>Employee_496</t>
  </si>
  <si>
    <t>EMP497</t>
  </si>
  <si>
    <t>Employee_497</t>
  </si>
  <si>
    <t>EMP498</t>
  </si>
  <si>
    <t>Employee_498</t>
  </si>
  <si>
    <t>EMP499</t>
  </si>
  <si>
    <t>Employee_499</t>
  </si>
  <si>
    <t>5/13/2021</t>
  </si>
  <si>
    <t>EMP500</t>
  </si>
  <si>
    <t>Employee_500</t>
  </si>
  <si>
    <t>5/14/2021</t>
  </si>
  <si>
    <t>HOW IT WORKS :-</t>
  </si>
  <si>
    <t>Main reasons we use VLOOKUP:</t>
  </si>
  <si>
    <r>
      <t>1. To search quickly</t>
    </r>
    <r>
      <rPr>
        <sz val="11"/>
        <color theme="1"/>
        <rFont val="Aptos Narrow"/>
        <family val="2"/>
        <scheme val="minor"/>
      </rPr>
      <t xml:space="preserve"> – It saves time compared to manually looking for matching values.</t>
    </r>
  </si>
  <si>
    <r>
      <t>2. To connect related data</t>
    </r>
    <r>
      <rPr>
        <sz val="11"/>
        <color theme="1"/>
        <rFont val="Aptos Narrow"/>
        <family val="2"/>
        <scheme val="minor"/>
      </rPr>
      <t xml:space="preserve"> – For example, finding the price of a product by entering its product ID.</t>
    </r>
  </si>
  <si>
    <r>
      <t>3. To automate data retrieval</t>
    </r>
    <r>
      <rPr>
        <sz val="11"/>
        <color theme="1"/>
        <rFont val="Aptos Narrow"/>
        <family val="2"/>
        <scheme val="minor"/>
      </rPr>
      <t xml:space="preserve"> – It updates results automatically when the source table changes.</t>
    </r>
  </si>
  <si>
    <t>DEFINATION OF VLOOKUP AND WHY WE USE VLOOKUP IN EXCLE :-</t>
  </si>
  <si>
    <t>DEFINATION -:</t>
  </si>
  <si>
    <t>VLOOKUP (Vertical Lookup) is an Excel function used to search for a specific value in the first column of a table and return a related value from another column in the same row.</t>
  </si>
  <si>
    <r>
      <t xml:space="preserve">It works </t>
    </r>
    <r>
      <rPr>
        <b/>
        <sz val="11"/>
        <color theme="1"/>
        <rFont val="Aptos Narrow"/>
        <family val="2"/>
        <scheme val="minor"/>
      </rPr>
      <t>vertically</t>
    </r>
    <r>
      <rPr>
        <sz val="11"/>
        <color theme="1"/>
        <rFont val="Aptos Narrow"/>
        <family val="2"/>
        <scheme val="minor"/>
      </rPr>
      <t xml:space="preserve"> (top to bottom) in the lookup column to find the match.</t>
    </r>
  </si>
  <si>
    <t>Syntax:</t>
  </si>
  <si>
    <t>VLOOKUP(lookup_value, table_array, col_index_num, [range_lookup])</t>
  </si>
  <si>
    <t>Vlookup ka use hum log issi liya karat h ki maan lo ki humara pass 500 employee data h aur mujha bol gaya ki employe number 385 ka full detail chaiya jaisa ki employee id , employee name ,employee departement ,</t>
  </si>
  <si>
    <t xml:space="preserve">employee salary , employee joining date , etc to aab iska liya hum pura data ko scroll kar ke aak daat ko check kara gaya to bhaut time jaya ga to hum iska liya vlookup ka formula use karta h aur formula ye raha </t>
  </si>
  <si>
    <t xml:space="preserve">to iss formula ko use karna ke liya jo bhi huma data diya ho uss data ke bagal me ya phir upper , nitcha kahi per bhi uss data ke heading ko copy paste kar dena lakin dhayan rahaya ki original data me heading row me likha rahata h </t>
  </si>
  <si>
    <t xml:space="preserve">lakin jab tum heading ko copy paste karo to heading column me paste hona chaiya  jaisa ki tum table number 2 me dekh sakata ho to heading to column me print karna ke liya sabsa pahal first heading ko copy kar ke paste kar lo </t>
  </si>
  <si>
    <t xml:space="preserve">jaisa ki employee id uska baad baccha hua heading ko copy kar ke home tab me ja kar ke paste wal option per click karana uska baad paste wala option per click karna ke baad paste transpose per click karna jaisa hi tum paste </t>
  </si>
  <si>
    <t xml:space="preserve">transpose per click karo gaya to tumahara sara heading column wise print ho jaya ga. Iss sab ke baad headig wala column ke thik bagal me koi employee id likh do jaisa ki emp005 ,etc aur thik iss column ke nitcha vlookup ka </t>
  </si>
  <si>
    <t xml:space="preserve">formula likh do aur formula ye raha table number 2 ke according =vlookup($l$7,4A41:$E$13,ROW()-6,0), sabsa pahala hum$ sign iss liya use kiya h ki ye formula pura data ke liya valid ho aur row jo h wo formula h kisi bhi row me </t>
  </si>
  <si>
    <t xml:space="preserve">row ka formula likh do to uss row kka row number aa jata h aur row ke aaga = ka sign laga lena -6 ka matlab ye h ki maan lo tumahara original data me employee ka name row number 2 me h aur jis row me tum vlookup ka formula likh raho </t>
  </si>
  <si>
    <t xml:space="preserve">uska row number 8 h to row me 6 ko substracte kara gaya tabhi to row number 2 aaya ga aur last me enter button press kar dena  baas jaise hi tum enter button press karo gaya waisa hi employee number 385 ka pura information aa jaya ga </t>
  </si>
  <si>
    <t>1 minute ke under aab jis bhi employee ka information chaiya baas uss employee ka employee number enter karo or enter button ko press kar do uss employss ka pura information aa jaya ga .</t>
  </si>
  <si>
    <t>emp010</t>
  </si>
  <si>
    <t>emp500</t>
  </si>
  <si>
    <t>EXAMPLE OF VLOOKUP FORMULA.</t>
  </si>
  <si>
    <t>Emp_type</t>
  </si>
  <si>
    <t>Grade1</t>
  </si>
  <si>
    <t>Grade2</t>
  </si>
  <si>
    <t>Grade3</t>
  </si>
  <si>
    <t>Grade4</t>
  </si>
  <si>
    <t>Grade5</t>
  </si>
  <si>
    <t>Grade6</t>
  </si>
  <si>
    <t>Emp type</t>
  </si>
  <si>
    <t xml:space="preserve">Sabsa phala table 2 ko acending order me cgange kar lena h usha baad table 2 ka name de do lakin dhayan rahaya ki table name deta samaya space nahi dena h uska baad table name number se start nahi karna h to table 2 ka name h emp_type uska baad original </t>
  </si>
  <si>
    <t>data ke last me aak column banao uska name Emp type de do aab iss column ke first cell me vlookup ka formula likho jo formula ye raha =vlookup(D2(table 1 data ka salary  column ka first cell select kro lo),emp_type(table 2 ka name h),2(table 2 me Emp_type</t>
  </si>
  <si>
    <t xml:space="preserve">column 2 me h n),1(1 ka matlab h ki salary ko approximate match kara ga aur aagar 0 likh do gaya to salary ko exact match hoga ) uska baad enter button kopress kar do to salary ke hisab se grade aa jaya ga aab ye to hua first cell ke liya aab pura cell ke liya first </t>
  </si>
  <si>
    <t>cell ke right corner per mouse ka cursor ko le ja kar double tap press kar do to ye same formula pura data ke liya aapna aap apply ho jaya ga aur sabhi employaa ko salary ke hisab se grade mil jaya ga .</t>
  </si>
  <si>
    <t>Class/Subjects</t>
  </si>
  <si>
    <t>8:00 AM - 8:45 AM</t>
  </si>
  <si>
    <t>8:45 AM - 9:30 AM</t>
  </si>
  <si>
    <t>9:30 AM - 10:15 AM</t>
  </si>
  <si>
    <t>10:15 AM - 11:00 AM</t>
  </si>
  <si>
    <t>11:00 AM - 11:15 AM (Break)</t>
  </si>
  <si>
    <t>11:15 AM - 12:00 PM</t>
  </si>
  <si>
    <t>Mathematics</t>
  </si>
  <si>
    <t>Mathematics (Ms. Johnson)</t>
  </si>
  <si>
    <t>Mathematics (Mr. Smith)</t>
  </si>
  <si>
    <t>Mathematics (Mrs. Lee)</t>
  </si>
  <si>
    <t>Mathematics (Mr. Brown)</t>
  </si>
  <si>
    <t>Break</t>
  </si>
  <si>
    <t>Mathematics (Mr. Wilson)</t>
  </si>
  <si>
    <t>Science</t>
  </si>
  <si>
    <t>Science (Mr. Smith)</t>
  </si>
  <si>
    <t>Science (Mrs. Lee)</t>
  </si>
  <si>
    <t>Science (Mr. Brown)</t>
  </si>
  <si>
    <t>Science (Ms. Davis)</t>
  </si>
  <si>
    <t>Science (Ms. Taylor)</t>
  </si>
  <si>
    <t>English</t>
  </si>
  <si>
    <t>English (Mrs. Lee)</t>
  </si>
  <si>
    <t>English (Mr. Brown)</t>
  </si>
  <si>
    <t>English (Ms. Davis)</t>
  </si>
  <si>
    <t>English (Mr. Wilson)</t>
  </si>
  <si>
    <t>English (Mr. White)</t>
  </si>
  <si>
    <t>History</t>
  </si>
  <si>
    <t>History (Mr. Brown)</t>
  </si>
  <si>
    <t>History (Ms. Davis)</t>
  </si>
  <si>
    <t>History (Mr. Wilson)</t>
  </si>
  <si>
    <t>History (Ms. Taylor)</t>
  </si>
  <si>
    <t>History (Ms. Johnson)</t>
  </si>
  <si>
    <t>Geography</t>
  </si>
  <si>
    <t>Geography (Ms. Davis)</t>
  </si>
  <si>
    <t>Geography (Mr. Wilson)</t>
  </si>
  <si>
    <t>Geography (Ms. Taylor)</t>
  </si>
  <si>
    <t>Geography (Mr. White)</t>
  </si>
  <si>
    <t>Geography (Mr. Smith)</t>
  </si>
  <si>
    <t>Physical Education</t>
  </si>
  <si>
    <t>Physical Education (Mr. Wilson)</t>
  </si>
  <si>
    <t>Physical Education (Ms. Taylor)</t>
  </si>
  <si>
    <t>Physical Education (Mr. White)</t>
  </si>
  <si>
    <t>Physical Education (Ms. Johnson)</t>
  </si>
  <si>
    <t>Physical Education (Mrs. Lee)</t>
  </si>
  <si>
    <t>Art</t>
  </si>
  <si>
    <t>Art (Ms. Taylor)</t>
  </si>
  <si>
    <t>Art (Mr. White)</t>
  </si>
  <si>
    <t>Art (Ms. Johnson)</t>
  </si>
  <si>
    <t>Art (Mr. Smith)</t>
  </si>
  <si>
    <t>Art (Mr. Brown)</t>
  </si>
  <si>
    <t>Computer Science</t>
  </si>
  <si>
    <t>Computer Science (Mr. White)</t>
  </si>
  <si>
    <t>Computer Science (Ms. Johnson)</t>
  </si>
  <si>
    <t>Computer Science (Mr. Smith)</t>
  </si>
  <si>
    <t>Computer Science (Mrs. Lee)</t>
  </si>
  <si>
    <t>Computer Science (Ms. Davis)</t>
  </si>
  <si>
    <t>MATCH FORMULA GIVER THE POSITION OF ROW AND COLUMN .</t>
  </si>
  <si>
    <t>Row.No =</t>
  </si>
  <si>
    <t>Column.No</t>
  </si>
  <si>
    <t>Table -: 1</t>
  </si>
  <si>
    <t>Table -:2</t>
  </si>
  <si>
    <t>Sabsa pahala aapna original data (table 1) me se class/subjects naam ka column ko copy kar ke kisi aur column me paste kar do jaisa ki table 2 me dekh rahao ho uss column ke just nitcha all subject ka</t>
  </si>
  <si>
    <t xml:space="preserve">drop down bana do drop down banana ke liya sabsa pahala data tab per click karo uska baad data validation option per ja kar click karo usmay allow wala option me ja kar list ko select kar do aur sourse wala </t>
  </si>
  <si>
    <t xml:space="preserve">option per ja kar pura subject ka column ko select kar do uska baad ok button ko press kar do to tumara drop down emplement ho jaya ga </t>
  </si>
  <si>
    <t xml:space="preserve">aab class/subject ke bagal wala row me time ka drop down laga do jaisa subject ka drop down lagaya h n waisa hi laga ga lakin source wala option per pura </t>
  </si>
  <si>
    <t xml:space="preserve">time wala row ko select karna </t>
  </si>
  <si>
    <t xml:space="preserve">aab jo drop down tumna subject ke liya lagaya h uss drop down me </t>
  </si>
  <si>
    <t xml:space="preserve">se koi aak subject ko select kar lena aur time </t>
  </si>
  <si>
    <t xml:space="preserve">wala bhi drop down me se koi aak time ko select kar </t>
  </si>
  <si>
    <t xml:space="preserve">lena aab kisi aur row me ja kar match wala formula use karo =match(jis cell me tumna subject ka </t>
  </si>
  <si>
    <t>drop down ko implement kiya h usko select kar lo,pura original data ko select kar lo ,0 (0 ka matlab h exact match koi huma subject ,teacher dono ke naam exact chaya n aur time bhi exact chaya to issi</t>
  </si>
  <si>
    <t>hum 0 ka use kiya h )</t>
  </si>
  <si>
    <t>aab humara final formula table 1 ke accoding ye raha =match(B13,A1:A9,0)</t>
  </si>
  <si>
    <t>aab jo tumna subject select kiya tha n dropdowm me uss subject ka row number aa jaya ga ki wo subject original data (table1) me kis row me h aau tumna drop dowm ko implement kiya h to jis bhi subject ko tum select karo gaya uss subject ka row number aa jaya ha original data (table 1) ke according, aab phir se match ka formula likho aur iss formula me jo tum ne time ko drop down kiya aur usmay jo bhi time select kiya usko select kar dena uska baad original data me se pur time wala row ko select karna  lakin dhayan rahay sirf time ko hi select karna pura data ko nahi aur last me 0 likh dena final formula ye raha table 1 ke according =match(C12,A1:G1,0) or enter button ko press kar dene jaisa hi enter button ko press karo gaya to jis time ko tumna drop down me select kia tha usaka column number aa jaya aab jis column me tumna time ka drop down lagaya h uss column ke thik nitch wala column me index ka formula likho formula ye raha =index(select whole data, select row number which you find using match formula , select column number which you find using match formula) final formula according to table 1=index(A1:G9,D25) aur last me enter button ko press kar do aab tum jis bhi subject ko select kar ke enter button ko press karo gay uss subject ka time aur teacher name aa jaya ga ya phir tum time ko select karo to subject name aa jaya ga .</t>
  </si>
  <si>
    <t>Vihan</t>
  </si>
  <si>
    <t>Total Transaction</t>
  </si>
  <si>
    <t>solution -:</t>
  </si>
  <si>
    <t>Q1) Calculate the total transaction by each state.</t>
  </si>
  <si>
    <t xml:space="preserve">As well as product category </t>
  </si>
  <si>
    <t>State/Category</t>
  </si>
  <si>
    <t>Objective:</t>
  </si>
  <si>
    <t>Find out how many transactions occurred in each state.</t>
  </si>
  <si>
    <t>Formula Used:</t>
  </si>
  <si>
    <t>COUNTIF(D:D, L4) , countif ke aaga = ka sign laga dena koi ki mai laga raha hu to formula work kar raha h.</t>
  </si>
  <si>
    <t>Explanation:</t>
  </si>
  <si>
    <r>
      <t>D:D</t>
    </r>
    <r>
      <rPr>
        <sz val="11"/>
        <color theme="1"/>
        <rFont val="Aptos Narrow"/>
        <family val="2"/>
        <scheme val="minor"/>
      </rPr>
      <t xml:space="preserve"> → This is the column containing the </t>
    </r>
    <r>
      <rPr>
        <b/>
        <sz val="11"/>
        <color theme="1"/>
        <rFont val="Aptos Narrow"/>
        <family val="2"/>
        <scheme val="minor"/>
      </rPr>
      <t>State</t>
    </r>
    <r>
      <rPr>
        <sz val="11"/>
        <color theme="1"/>
        <rFont val="Aptos Narrow"/>
        <family val="2"/>
        <scheme val="minor"/>
      </rPr>
      <t xml:space="preserve"> names in your main data.</t>
    </r>
  </si>
  <si>
    <r>
      <t>L4</t>
    </r>
    <r>
      <rPr>
        <sz val="11"/>
        <color theme="1"/>
        <rFont val="Aptos Narrow"/>
        <family val="2"/>
        <scheme val="minor"/>
      </rPr>
      <t xml:space="preserve"> → This is the cell that contains the specific state you want to count transactions for (e.g., Maharashtra).</t>
    </r>
  </si>
  <si>
    <r>
      <t>COUNTIF</t>
    </r>
    <r>
      <rPr>
        <sz val="11"/>
        <color theme="1"/>
        <rFont val="Aptos Narrow"/>
        <family val="2"/>
        <scheme val="minor"/>
      </rPr>
      <t xml:space="preserve"> → This function counts the number of cells in the given range that match the specified criteria.</t>
    </r>
  </si>
  <si>
    <t>Steps to Solve:</t>
  </si>
  <si>
    <r>
      <t xml:space="preserve">1. Identify the column that contains the </t>
    </r>
    <r>
      <rPr>
        <b/>
        <sz val="11"/>
        <color theme="1"/>
        <rFont val="Aptos Narrow"/>
        <family val="2"/>
        <scheme val="minor"/>
      </rPr>
      <t>State</t>
    </r>
    <r>
      <rPr>
        <sz val="11"/>
        <color theme="1"/>
        <rFont val="Aptos Narrow"/>
        <family val="2"/>
        <scheme val="minor"/>
      </rPr>
      <t xml:space="preserve"> names (here it’s Column D).</t>
    </r>
  </si>
  <si>
    <t>2. Make a list of all unique states in a separate column.</t>
  </si>
  <si>
    <r>
      <t xml:space="preserve">3. Use the </t>
    </r>
    <r>
      <rPr>
        <sz val="10"/>
        <color theme="1"/>
        <rFont val="Arial Unicode MS"/>
      </rPr>
      <t>COUNTIF</t>
    </r>
    <r>
      <rPr>
        <sz val="11"/>
        <color theme="1"/>
        <rFont val="Aptos Narrow"/>
        <family val="2"/>
        <scheme val="minor"/>
      </rPr>
      <t xml:space="preserve"> formula to count how many times each state appears in Column D.</t>
    </r>
  </si>
  <si>
    <t>4. Drag the formula down to apply it for all states.</t>
  </si>
  <si>
    <t>or remove the duplicate state.</t>
  </si>
  <si>
    <t>Q2) Calculate the total transaction by each state.</t>
  </si>
  <si>
    <t>How  Q1) WORKS -:</t>
  </si>
  <si>
    <t>How  Q2) WORKS -:</t>
  </si>
  <si>
    <r>
      <t xml:space="preserve">Find the number of transactions for each state </t>
    </r>
    <r>
      <rPr>
        <b/>
        <sz val="11"/>
        <color theme="1"/>
        <rFont val="Aptos Narrow"/>
        <family val="2"/>
        <scheme val="minor"/>
      </rPr>
      <t>and</t>
    </r>
    <r>
      <rPr>
        <sz val="11"/>
        <color theme="1"/>
        <rFont val="Aptos Narrow"/>
        <family val="2"/>
        <scheme val="minor"/>
      </rPr>
      <t xml:space="preserve"> for each product category.</t>
    </r>
  </si>
  <si>
    <t>COUNTIFS($D:$D, $L14, $F:$F, M$13)</t>
  </si>
  <si>
    <t xml:space="preserve">aur countifs ke aaga = ka sign laga lena </t>
  </si>
  <si>
    <t>Aur direct cell number print ho ja raha h formula nahi dek raha h.</t>
  </si>
  <si>
    <t>koi ki mai jab = sign deta hu to formula work kar raha h , Aur direct cell number print ho ja raha h formula nahi dek raha h.</t>
  </si>
  <si>
    <r>
      <t>$D:$D</t>
    </r>
    <r>
      <rPr>
        <sz val="11"/>
        <color theme="1"/>
        <rFont val="Aptos Narrow"/>
        <family val="2"/>
        <scheme val="minor"/>
      </rPr>
      <t xml:space="preserve"> → State column (fixed with </t>
    </r>
    <r>
      <rPr>
        <sz val="10"/>
        <color theme="1"/>
        <rFont val="Arial Unicode MS"/>
      </rPr>
      <t>$</t>
    </r>
    <r>
      <rPr>
        <sz val="11"/>
        <color theme="1"/>
        <rFont val="Aptos Narrow"/>
        <family val="2"/>
        <scheme val="minor"/>
      </rPr>
      <t xml:space="preserve"> so it doesn’t change when copied).</t>
    </r>
  </si>
  <si>
    <r>
      <t>$L14</t>
    </r>
    <r>
      <rPr>
        <sz val="11"/>
        <color theme="1"/>
        <rFont val="Aptos Narrow"/>
        <family val="2"/>
        <scheme val="minor"/>
      </rPr>
      <t xml:space="preserve"> → Specific state name from your summary table.</t>
    </r>
  </si>
  <si>
    <r>
      <t>$F:$F</t>
    </r>
    <r>
      <rPr>
        <sz val="11"/>
        <color theme="1"/>
        <rFont val="Aptos Narrow"/>
        <family val="2"/>
        <scheme val="minor"/>
      </rPr>
      <t xml:space="preserve"> → Product Category column from the main data.</t>
    </r>
  </si>
  <si>
    <r>
      <t>M$13</t>
    </r>
    <r>
      <rPr>
        <sz val="11"/>
        <color theme="1"/>
        <rFont val="Aptos Narrow"/>
        <family val="2"/>
        <scheme val="minor"/>
      </rPr>
      <t xml:space="preserve"> → Specific product category from the header row in your summary table.</t>
    </r>
  </si>
  <si>
    <r>
      <t>COUNTIFS</t>
    </r>
    <r>
      <rPr>
        <sz val="11"/>
        <color theme="1"/>
        <rFont val="Aptos Narrow"/>
        <family val="2"/>
        <scheme val="minor"/>
      </rPr>
      <t xml:space="preserve"> → Counts the number of rows that meet </t>
    </r>
    <r>
      <rPr>
        <b/>
        <sz val="11"/>
        <color theme="1"/>
        <rFont val="Aptos Narrow"/>
        <family val="2"/>
        <scheme val="minor"/>
      </rPr>
      <t>both</t>
    </r>
    <r>
      <rPr>
        <sz val="11"/>
        <color theme="1"/>
        <rFont val="Aptos Narrow"/>
        <family val="2"/>
        <scheme val="minor"/>
      </rPr>
      <t xml:space="preserve"> conditions:</t>
    </r>
  </si>
  <si>
    <t>1. State matches the selected state.</t>
  </si>
  <si>
    <t>2. Product category matches the selected category.</t>
  </si>
  <si>
    <t>1. Create a table with states as rows and product categories as columns.</t>
  </si>
  <si>
    <r>
      <t xml:space="preserve">2. In the first cell of the table (intersection of first state and first category), enter the </t>
    </r>
    <r>
      <rPr>
        <sz val="10"/>
        <color theme="1"/>
        <rFont val="Arial Unicode MS"/>
      </rPr>
      <t>COUNTIFS</t>
    </r>
    <r>
      <rPr>
        <sz val="11"/>
        <color theme="1"/>
        <rFont val="Aptos Narrow"/>
        <family val="2"/>
        <scheme val="minor"/>
      </rPr>
      <t xml:space="preserve"> formula.</t>
    </r>
  </si>
  <si>
    <r>
      <t xml:space="preserve">3. Fix the ranges with </t>
    </r>
    <r>
      <rPr>
        <sz val="10"/>
        <color theme="1"/>
        <rFont val="Arial Unicode MS"/>
      </rPr>
      <t>$</t>
    </r>
    <r>
      <rPr>
        <sz val="11"/>
        <color theme="1"/>
        <rFont val="Aptos Narrow"/>
        <family val="2"/>
        <scheme val="minor"/>
      </rPr>
      <t xml:space="preserve"> to make the formula work when dragged across and down.</t>
    </r>
  </si>
  <si>
    <t>4. Drag the formula across columns for all categories and down rows for all states.</t>
  </si>
  <si>
    <t>Q3) Calculate total quantity sold by region .</t>
  </si>
  <si>
    <t>Find the total quantity of products sold for each region (West, South, North) from the given sales data.</t>
  </si>
  <si>
    <t>SUMIF(E:E, L23, H:H) formula ke aaga = ka sign laga lena .</t>
  </si>
  <si>
    <r>
      <t>E:E</t>
    </r>
    <r>
      <rPr>
        <sz val="11"/>
        <color theme="1"/>
        <rFont val="Aptos Narrow"/>
        <family val="2"/>
        <scheme val="minor"/>
      </rPr>
      <t xml:space="preserve"> → This is the </t>
    </r>
    <r>
      <rPr>
        <b/>
        <sz val="11"/>
        <color theme="1"/>
        <rFont val="Aptos Narrow"/>
        <family val="2"/>
        <scheme val="minor"/>
      </rPr>
      <t>Region</t>
    </r>
    <r>
      <rPr>
        <sz val="11"/>
        <color theme="1"/>
        <rFont val="Aptos Narrow"/>
        <family val="2"/>
        <scheme val="minor"/>
      </rPr>
      <t xml:space="preserve"> column in your dataset.</t>
    </r>
  </si>
  <si>
    <r>
      <t>L23</t>
    </r>
    <r>
      <rPr>
        <sz val="11"/>
        <color theme="1"/>
        <rFont val="Aptos Narrow"/>
        <family val="2"/>
        <scheme val="minor"/>
      </rPr>
      <t xml:space="preserve"> → This is the cell that contains the </t>
    </r>
    <r>
      <rPr>
        <b/>
        <sz val="11"/>
        <color theme="1"/>
        <rFont val="Aptos Narrow"/>
        <family val="2"/>
        <scheme val="minor"/>
      </rPr>
      <t>specific region name</t>
    </r>
    <r>
      <rPr>
        <sz val="11"/>
        <color theme="1"/>
        <rFont val="Aptos Narrow"/>
        <family val="2"/>
        <scheme val="minor"/>
      </rPr>
      <t xml:space="preserve"> you want to calculate the total quantity for (e.g., "West").</t>
    </r>
  </si>
  <si>
    <r>
      <t>H:H</t>
    </r>
    <r>
      <rPr>
        <sz val="11"/>
        <color theme="1"/>
        <rFont val="Aptos Narrow"/>
        <family val="2"/>
        <scheme val="minor"/>
      </rPr>
      <t xml:space="preserve"> → This is the </t>
    </r>
    <r>
      <rPr>
        <b/>
        <sz val="11"/>
        <color theme="1"/>
        <rFont val="Aptos Narrow"/>
        <family val="2"/>
        <scheme val="minor"/>
      </rPr>
      <t>Quantity</t>
    </r>
    <r>
      <rPr>
        <sz val="11"/>
        <color theme="1"/>
        <rFont val="Aptos Narrow"/>
        <family val="2"/>
        <scheme val="minor"/>
      </rPr>
      <t xml:space="preserve"> column in your dataset.</t>
    </r>
  </si>
  <si>
    <r>
      <t>SUMIF</t>
    </r>
    <r>
      <rPr>
        <sz val="11"/>
        <color theme="1"/>
        <rFont val="Aptos Narrow"/>
        <family val="2"/>
        <scheme val="minor"/>
      </rPr>
      <t xml:space="preserve"> → Adds up all values in the quantity column (</t>
    </r>
    <r>
      <rPr>
        <b/>
        <sz val="11"/>
        <color theme="1"/>
        <rFont val="Aptos Narrow"/>
        <family val="2"/>
        <scheme val="minor"/>
      </rPr>
      <t>H:H</t>
    </r>
    <r>
      <rPr>
        <sz val="11"/>
        <color theme="1"/>
        <rFont val="Aptos Narrow"/>
        <family val="2"/>
        <scheme val="minor"/>
      </rPr>
      <t xml:space="preserve">) </t>
    </r>
    <r>
      <rPr>
        <b/>
        <sz val="11"/>
        <color theme="1"/>
        <rFont val="Aptos Narrow"/>
        <family val="2"/>
        <scheme val="minor"/>
      </rPr>
      <t>only</t>
    </r>
    <r>
      <rPr>
        <sz val="11"/>
        <color theme="1"/>
        <rFont val="Aptos Narrow"/>
        <family val="2"/>
        <scheme val="minor"/>
      </rPr>
      <t xml:space="preserve"> where the corresponding region in column </t>
    </r>
    <r>
      <rPr>
        <b/>
        <sz val="11"/>
        <color theme="1"/>
        <rFont val="Aptos Narrow"/>
        <family val="2"/>
        <scheme val="minor"/>
      </rPr>
      <t>E</t>
    </r>
    <r>
      <rPr>
        <sz val="11"/>
        <color theme="1"/>
        <rFont val="Aptos Narrow"/>
        <family val="2"/>
        <scheme val="minor"/>
      </rPr>
      <t xml:space="preserve"> matches the value in </t>
    </r>
    <r>
      <rPr>
        <b/>
        <sz val="11"/>
        <color theme="1"/>
        <rFont val="Aptos Narrow"/>
        <family val="2"/>
        <scheme val="minor"/>
      </rPr>
      <t>L23</t>
    </r>
    <r>
      <rPr>
        <sz val="11"/>
        <color theme="1"/>
        <rFont val="Aptos Narrow"/>
        <family val="2"/>
        <scheme val="minor"/>
      </rPr>
      <t>.</t>
    </r>
  </si>
  <si>
    <r>
      <t xml:space="preserve">1. In your dataset, identify the </t>
    </r>
    <r>
      <rPr>
        <b/>
        <sz val="11"/>
        <color theme="1"/>
        <rFont val="Aptos Narrow"/>
        <family val="2"/>
        <scheme val="minor"/>
      </rPr>
      <t>Region</t>
    </r>
    <r>
      <rPr>
        <sz val="11"/>
        <color theme="1"/>
        <rFont val="Aptos Narrow"/>
        <family val="2"/>
        <scheme val="minor"/>
      </rPr>
      <t xml:space="preserve"> column (E) and the </t>
    </r>
    <r>
      <rPr>
        <b/>
        <sz val="11"/>
        <color theme="1"/>
        <rFont val="Aptos Narrow"/>
        <family val="2"/>
        <scheme val="minor"/>
      </rPr>
      <t>Quantity</t>
    </r>
    <r>
      <rPr>
        <sz val="11"/>
        <color theme="1"/>
        <rFont val="Aptos Narrow"/>
        <family val="2"/>
        <scheme val="minor"/>
      </rPr>
      <t xml:space="preserve"> column (H).</t>
    </r>
  </si>
  <si>
    <r>
      <t xml:space="preserve">2. Create a list of all unique </t>
    </r>
    <r>
      <rPr>
        <b/>
        <sz val="11"/>
        <color theme="1"/>
        <rFont val="Aptos Narrow"/>
        <family val="2"/>
        <scheme val="minor"/>
      </rPr>
      <t>regions</t>
    </r>
    <r>
      <rPr>
        <sz val="11"/>
        <color theme="1"/>
        <rFont val="Aptos Narrow"/>
        <family val="2"/>
        <scheme val="minor"/>
      </rPr>
      <t xml:space="preserve"> in a separate column.</t>
    </r>
  </si>
  <si>
    <r>
      <t xml:space="preserve">3. For each region, use the </t>
    </r>
    <r>
      <rPr>
        <sz val="10"/>
        <color theme="1"/>
        <rFont val="Arial Unicode MS"/>
      </rPr>
      <t>SUMIF</t>
    </r>
    <r>
      <rPr>
        <sz val="11"/>
        <color theme="1"/>
        <rFont val="Aptos Narrow"/>
        <family val="2"/>
        <scheme val="minor"/>
      </rPr>
      <t xml:space="preserve"> formula:</t>
    </r>
  </si>
  <si>
    <r>
      <t>Range</t>
    </r>
    <r>
      <rPr>
        <sz val="11"/>
        <color theme="1"/>
        <rFont val="Aptos Narrow"/>
        <family val="2"/>
        <scheme val="minor"/>
      </rPr>
      <t xml:space="preserve"> → Column E (Region names).</t>
    </r>
  </si>
  <si>
    <r>
      <t>Criteria</t>
    </r>
    <r>
      <rPr>
        <sz val="11"/>
        <color theme="1"/>
        <rFont val="Aptos Narrow"/>
        <family val="2"/>
        <scheme val="minor"/>
      </rPr>
      <t xml:space="preserve"> → Cell containing the region name.</t>
    </r>
  </si>
  <si>
    <r>
      <t>Sum Range</t>
    </r>
    <r>
      <rPr>
        <sz val="11"/>
        <color theme="1"/>
        <rFont val="Aptos Narrow"/>
        <family val="2"/>
        <scheme val="minor"/>
      </rPr>
      <t xml:space="preserve"> → Column H (Quantity sold).</t>
    </r>
  </si>
  <si>
    <t>4. Drag the formula down to calculate totals for all regions.</t>
  </si>
  <si>
    <t>How  Q3) WORKS -:</t>
  </si>
  <si>
    <t>Q4) Calculate total quantity sold by region as well asproduct name.</t>
  </si>
  <si>
    <t>Solution -:</t>
  </si>
  <si>
    <t>Product/Region</t>
  </si>
  <si>
    <t>How  Q4) WORKS -:</t>
  </si>
  <si>
    <t>SUMIF(E:E, L23, H:H) formula ke aaga = ka sign laga dena.</t>
  </si>
  <si>
    <t>Project ID</t>
  </si>
  <si>
    <t>Start Date</t>
  </si>
  <si>
    <t>End Date</t>
  </si>
  <si>
    <t>P101</t>
  </si>
  <si>
    <t>P102</t>
  </si>
  <si>
    <t>P103</t>
  </si>
  <si>
    <t>P104</t>
  </si>
  <si>
    <t>P105</t>
  </si>
  <si>
    <t>1. SUMIF</t>
  </si>
  <si>
    <r>
      <t>When to use</t>
    </r>
    <r>
      <rPr>
        <sz val="11"/>
        <color theme="1"/>
        <rFont val="Aptos Narrow"/>
        <family val="2"/>
        <scheme val="minor"/>
      </rPr>
      <t xml:space="preserve">: When you want to </t>
    </r>
    <r>
      <rPr>
        <b/>
        <sz val="11"/>
        <color theme="1"/>
        <rFont val="Aptos Narrow"/>
        <family val="2"/>
        <scheme val="minor"/>
      </rPr>
      <t>sum values based on a single condition</t>
    </r>
    <r>
      <rPr>
        <sz val="11"/>
        <color theme="1"/>
        <rFont val="Aptos Narrow"/>
        <family val="2"/>
        <scheme val="minor"/>
      </rPr>
      <t>.</t>
    </r>
  </si>
  <si>
    <r>
      <t>How to use</t>
    </r>
    <r>
      <rPr>
        <sz val="11"/>
        <color theme="1"/>
        <rFont val="Aptos Narrow"/>
        <family val="2"/>
        <scheme val="minor"/>
      </rPr>
      <t>:</t>
    </r>
  </si>
  <si>
    <r>
      <t xml:space="preserve">Example: </t>
    </r>
    <r>
      <rPr>
        <sz val="10"/>
        <color theme="1"/>
        <rFont val="Arial Unicode MS"/>
      </rPr>
      <t>=SUMIF(A2:A10, "&gt;50", B2:B10)</t>
    </r>
    <r>
      <rPr>
        <sz val="11"/>
        <color theme="1"/>
        <rFont val="Aptos Narrow"/>
        <family val="2"/>
        <scheme val="minor"/>
      </rPr>
      <t xml:space="preserve"> → Sums values in B2:B10 where A2:A10 is greater than 50.</t>
    </r>
  </si>
  <si>
    <t>2. SUMIFS</t>
  </si>
  <si>
    <r>
      <t>When to use</t>
    </r>
    <r>
      <rPr>
        <sz val="11"/>
        <color theme="1"/>
        <rFont val="Aptos Narrow"/>
        <family val="2"/>
        <scheme val="minor"/>
      </rPr>
      <t xml:space="preserve">: When you want to </t>
    </r>
    <r>
      <rPr>
        <b/>
        <sz val="11"/>
        <color theme="1"/>
        <rFont val="Aptos Narrow"/>
        <family val="2"/>
        <scheme val="minor"/>
      </rPr>
      <t>sum values based on multiple conditions</t>
    </r>
    <r>
      <rPr>
        <sz val="11"/>
        <color theme="1"/>
        <rFont val="Aptos Narrow"/>
        <family val="2"/>
        <scheme val="minor"/>
      </rPr>
      <t>.</t>
    </r>
  </si>
  <si>
    <t>=SUMIFS(sum_range, criteria_range1, criteria1, criteria_range2, criteria2, ...)</t>
  </si>
  <si>
    <r>
      <t xml:space="preserve">Example: </t>
    </r>
    <r>
      <rPr>
        <sz val="10"/>
        <color theme="1"/>
        <rFont val="Arial Unicode MS"/>
      </rPr>
      <t>=SUMIFS(C2:C10, A2:A10, "East", B2:B10, "&gt;100")</t>
    </r>
    <r>
      <rPr>
        <sz val="11"/>
        <color theme="1"/>
        <rFont val="Aptos Narrow"/>
        <family val="2"/>
        <scheme val="minor"/>
      </rPr>
      <t xml:space="preserve"> → Sums sales in C2:C10 where Region = East </t>
    </r>
    <r>
      <rPr>
        <b/>
        <sz val="11"/>
        <color theme="1"/>
        <rFont val="Aptos Narrow"/>
        <family val="2"/>
        <scheme val="minor"/>
      </rPr>
      <t>and</t>
    </r>
    <r>
      <rPr>
        <sz val="11"/>
        <color theme="1"/>
        <rFont val="Aptos Narrow"/>
        <family val="2"/>
        <scheme val="minor"/>
      </rPr>
      <t xml:space="preserve"> Quantity &gt; 100.</t>
    </r>
  </si>
  <si>
    <t>3. COUNTIF</t>
  </si>
  <si>
    <r>
      <t>When to use</t>
    </r>
    <r>
      <rPr>
        <sz val="11"/>
        <color theme="1"/>
        <rFont val="Aptos Narrow"/>
        <family val="2"/>
        <scheme val="minor"/>
      </rPr>
      <t xml:space="preserve">: To </t>
    </r>
    <r>
      <rPr>
        <b/>
        <sz val="11"/>
        <color theme="1"/>
        <rFont val="Aptos Narrow"/>
        <family val="2"/>
        <scheme val="minor"/>
      </rPr>
      <t>count cells based on a single condition</t>
    </r>
    <r>
      <rPr>
        <sz val="11"/>
        <color theme="1"/>
        <rFont val="Aptos Narrow"/>
        <family val="2"/>
        <scheme val="minor"/>
      </rPr>
      <t>.</t>
    </r>
  </si>
  <si>
    <r>
      <t xml:space="preserve">Example: </t>
    </r>
    <r>
      <rPr>
        <sz val="10"/>
        <color theme="1"/>
        <rFont val="Arial Unicode MS"/>
      </rPr>
      <t>=COUNTIF(A2:A10, "Apples")</t>
    </r>
    <r>
      <rPr>
        <sz val="11"/>
        <color theme="1"/>
        <rFont val="Aptos Narrow"/>
        <family val="2"/>
        <scheme val="minor"/>
      </rPr>
      <t xml:space="preserve"> → Counts how many times "Apples" appear in A2:A10.</t>
    </r>
  </si>
  <si>
    <t>4. COUNTIFS</t>
  </si>
  <si>
    <r>
      <t>When to use</t>
    </r>
    <r>
      <rPr>
        <sz val="11"/>
        <color theme="1"/>
        <rFont val="Aptos Narrow"/>
        <family val="2"/>
        <scheme val="minor"/>
      </rPr>
      <t xml:space="preserve">: To </t>
    </r>
    <r>
      <rPr>
        <b/>
        <sz val="11"/>
        <color theme="1"/>
        <rFont val="Aptos Narrow"/>
        <family val="2"/>
        <scheme val="minor"/>
      </rPr>
      <t>count cells based on multiple conditions</t>
    </r>
    <r>
      <rPr>
        <sz val="11"/>
        <color theme="1"/>
        <rFont val="Aptos Narrow"/>
        <family val="2"/>
        <scheme val="minor"/>
      </rPr>
      <t>.</t>
    </r>
  </si>
  <si>
    <t>=COUNTIFS(range1, criteria1, range2, criteria2, ...)</t>
  </si>
  <si>
    <r>
      <t xml:space="preserve">Example: </t>
    </r>
    <r>
      <rPr>
        <sz val="10"/>
        <color theme="1"/>
        <rFont val="Arial Unicode MS"/>
      </rPr>
      <t>=COUNTIFS(A2:A10, "Apples", B2:B10, "&gt;50")</t>
    </r>
    <r>
      <rPr>
        <sz val="11"/>
        <color theme="1"/>
        <rFont val="Aptos Narrow"/>
        <family val="2"/>
        <scheme val="minor"/>
      </rPr>
      <t xml:space="preserve"> → Counts rows where Fruit = Apples </t>
    </r>
    <r>
      <rPr>
        <b/>
        <sz val="11"/>
        <color theme="1"/>
        <rFont val="Aptos Narrow"/>
        <family val="2"/>
        <scheme val="minor"/>
      </rPr>
      <t>and</t>
    </r>
    <r>
      <rPr>
        <sz val="11"/>
        <color theme="1"/>
        <rFont val="Aptos Narrow"/>
        <family val="2"/>
        <scheme val="minor"/>
      </rPr>
      <t xml:space="preserve"> Quantity &gt; 50.</t>
    </r>
  </si>
  <si>
    <t>5. AVERAGEIF</t>
  </si>
  <si>
    <r>
      <t>When to use</t>
    </r>
    <r>
      <rPr>
        <sz val="11"/>
        <color theme="1"/>
        <rFont val="Aptos Narrow"/>
        <family val="2"/>
        <scheme val="minor"/>
      </rPr>
      <t xml:space="preserve">: To </t>
    </r>
    <r>
      <rPr>
        <b/>
        <sz val="11"/>
        <color theme="1"/>
        <rFont val="Aptos Narrow"/>
        <family val="2"/>
        <scheme val="minor"/>
      </rPr>
      <t>calculate the average of cells based on a single condition</t>
    </r>
    <r>
      <rPr>
        <sz val="11"/>
        <color theme="1"/>
        <rFont val="Aptos Narrow"/>
        <family val="2"/>
        <scheme val="minor"/>
      </rPr>
      <t>.</t>
    </r>
  </si>
  <si>
    <r>
      <t xml:space="preserve">Example: </t>
    </r>
    <r>
      <rPr>
        <sz val="10"/>
        <color theme="1"/>
        <rFont val="Arial Unicode MS"/>
      </rPr>
      <t>=AVERAGEIF(A2:A10, "&gt;60", B2:B10)</t>
    </r>
    <r>
      <rPr>
        <sz val="11"/>
        <color theme="1"/>
        <rFont val="Aptos Narrow"/>
        <family val="2"/>
        <scheme val="minor"/>
      </rPr>
      <t xml:space="preserve"> → Averages values in B2:B10 where A2:A10 is greater than 60.</t>
    </r>
  </si>
  <si>
    <t>6. AVERAGEIFS</t>
  </si>
  <si>
    <r>
      <t>When to use</t>
    </r>
    <r>
      <rPr>
        <sz val="11"/>
        <color theme="1"/>
        <rFont val="Aptos Narrow"/>
        <family val="2"/>
        <scheme val="minor"/>
      </rPr>
      <t xml:space="preserve">: To </t>
    </r>
    <r>
      <rPr>
        <b/>
        <sz val="11"/>
        <color theme="1"/>
        <rFont val="Aptos Narrow"/>
        <family val="2"/>
        <scheme val="minor"/>
      </rPr>
      <t>calculate the average based on multiple conditions</t>
    </r>
    <r>
      <rPr>
        <sz val="11"/>
        <color theme="1"/>
        <rFont val="Aptos Narrow"/>
        <family val="2"/>
        <scheme val="minor"/>
      </rPr>
      <t>.</t>
    </r>
  </si>
  <si>
    <t>=AVERAGEIFS(average_range, criteria_range1, criteria1, criteria_range2, criteria2, ...)</t>
  </si>
  <si>
    <r>
      <t xml:space="preserve">Example: </t>
    </r>
    <r>
      <rPr>
        <sz val="10"/>
        <color theme="1"/>
        <rFont val="Arial Unicode MS"/>
      </rPr>
      <t>=AVERAGEIFS(C2:C10, A2:A10, "North", B2:B10, "&gt;70")</t>
    </r>
    <r>
      <rPr>
        <sz val="11"/>
        <color theme="1"/>
        <rFont val="Aptos Narrow"/>
        <family val="2"/>
        <scheme val="minor"/>
      </rPr>
      <t xml:space="preserve"> → Averages values where Region = North </t>
    </r>
    <r>
      <rPr>
        <b/>
        <sz val="11"/>
        <color theme="1"/>
        <rFont val="Aptos Narrow"/>
        <family val="2"/>
        <scheme val="minor"/>
      </rPr>
      <t>and</t>
    </r>
    <r>
      <rPr>
        <sz val="11"/>
        <color theme="1"/>
        <rFont val="Aptos Narrow"/>
        <family val="2"/>
        <scheme val="minor"/>
      </rPr>
      <t xml:space="preserve"> Quantity &gt; 70.</t>
    </r>
  </si>
  <si>
    <t>7. MAXIF</t>
  </si>
  <si>
    <r>
      <t>When to use</t>
    </r>
    <r>
      <rPr>
        <sz val="11"/>
        <color theme="1"/>
        <rFont val="Aptos Narrow"/>
        <family val="2"/>
        <scheme val="minor"/>
      </rPr>
      <t xml:space="preserve">: To </t>
    </r>
    <r>
      <rPr>
        <b/>
        <sz val="11"/>
        <color theme="1"/>
        <rFont val="Aptos Narrow"/>
        <family val="2"/>
        <scheme val="minor"/>
      </rPr>
      <t>find the largest value based on a single condition</t>
    </r>
    <r>
      <rPr>
        <sz val="11"/>
        <color theme="1"/>
        <rFont val="Aptos Narrow"/>
        <family val="2"/>
        <scheme val="minor"/>
      </rPr>
      <t xml:space="preserve">. </t>
    </r>
    <r>
      <rPr>
        <i/>
        <sz val="11"/>
        <color theme="1"/>
        <rFont val="Aptos Narrow"/>
        <family val="2"/>
        <scheme val="minor"/>
      </rPr>
      <t xml:space="preserve">(Not a built-in Excel function — usually done with </t>
    </r>
    <r>
      <rPr>
        <i/>
        <sz val="10"/>
        <color theme="1"/>
        <rFont val="Arial Unicode MS"/>
      </rPr>
      <t>MAX</t>
    </r>
    <r>
      <rPr>
        <i/>
        <sz val="11"/>
        <color theme="1"/>
        <rFont val="Aptos Narrow"/>
        <family val="2"/>
        <scheme val="minor"/>
      </rPr>
      <t xml:space="preserve"> + </t>
    </r>
    <r>
      <rPr>
        <i/>
        <sz val="10"/>
        <color theme="1"/>
        <rFont val="Arial Unicode MS"/>
      </rPr>
      <t>IF</t>
    </r>
    <r>
      <rPr>
        <i/>
        <sz val="11"/>
        <color theme="1"/>
        <rFont val="Aptos Narrow"/>
        <family val="2"/>
        <scheme val="minor"/>
      </rPr>
      <t xml:space="preserve"> or in newer Excel versions with </t>
    </r>
    <r>
      <rPr>
        <i/>
        <sz val="10"/>
        <color theme="1"/>
        <rFont val="Arial Unicode MS"/>
      </rPr>
      <t>MAXIFS</t>
    </r>
    <r>
      <rPr>
        <i/>
        <sz val="11"/>
        <color theme="1"/>
        <rFont val="Aptos Narrow"/>
        <family val="2"/>
        <scheme val="minor"/>
      </rPr>
      <t>)</t>
    </r>
  </si>
  <si>
    <r>
      <t>=MAX(IF(range=criteria, max_range))</t>
    </r>
    <r>
      <rPr>
        <sz val="11"/>
        <color theme="1"/>
        <rFont val="Aptos Narrow"/>
        <family val="2"/>
        <scheme val="minor"/>
      </rPr>
      <t xml:space="preserve"> → Enter as an array formula in older Excel (</t>
    </r>
    <r>
      <rPr>
        <sz val="10"/>
        <color theme="1"/>
        <rFont val="Arial Unicode MS"/>
      </rPr>
      <t>Ctrl+Shift+Enter</t>
    </r>
    <r>
      <rPr>
        <sz val="11"/>
        <color theme="1"/>
        <rFont val="Aptos Narrow"/>
        <family val="2"/>
        <scheme val="minor"/>
      </rPr>
      <t>).</t>
    </r>
  </si>
  <si>
    <t>8. MAXIFS</t>
  </si>
  <si>
    <r>
      <t>When to use</t>
    </r>
    <r>
      <rPr>
        <sz val="11"/>
        <color theme="1"/>
        <rFont val="Aptos Narrow"/>
        <family val="2"/>
        <scheme val="minor"/>
      </rPr>
      <t xml:space="preserve">: To </t>
    </r>
    <r>
      <rPr>
        <b/>
        <sz val="11"/>
        <color theme="1"/>
        <rFont val="Aptos Narrow"/>
        <family val="2"/>
        <scheme val="minor"/>
      </rPr>
      <t>find the largest value based on multiple conditions</t>
    </r>
    <r>
      <rPr>
        <sz val="11"/>
        <color theme="1"/>
        <rFont val="Aptos Narrow"/>
        <family val="2"/>
        <scheme val="minor"/>
      </rPr>
      <t>.</t>
    </r>
  </si>
  <si>
    <t>=MAXIFS(max_range, criteria_range1, criteria1, criteria_range2, criteria2, ...)</t>
  </si>
  <si>
    <r>
      <t xml:space="preserve">Example: </t>
    </r>
    <r>
      <rPr>
        <sz val="10"/>
        <color theme="1"/>
        <rFont val="Arial Unicode MS"/>
      </rPr>
      <t>=MAXIFS(C2:C10, A2:A10, "East")</t>
    </r>
    <r>
      <rPr>
        <sz val="11"/>
        <color theme="1"/>
        <rFont val="Aptos Narrow"/>
        <family val="2"/>
        <scheme val="minor"/>
      </rPr>
      <t xml:space="preserve"> → Finds the maximum value in C2:C10 where Region = East.</t>
    </r>
  </si>
  <si>
    <t>9. MINIF</t>
  </si>
  <si>
    <r>
      <t>When to use</t>
    </r>
    <r>
      <rPr>
        <sz val="11"/>
        <color theme="1"/>
        <rFont val="Aptos Narrow"/>
        <family val="2"/>
        <scheme val="minor"/>
      </rPr>
      <t xml:space="preserve">: To </t>
    </r>
    <r>
      <rPr>
        <b/>
        <sz val="11"/>
        <color theme="1"/>
        <rFont val="Aptos Narrow"/>
        <family val="2"/>
        <scheme val="minor"/>
      </rPr>
      <t>find the smallest value based on a single condition</t>
    </r>
    <r>
      <rPr>
        <sz val="11"/>
        <color theme="1"/>
        <rFont val="Aptos Narrow"/>
        <family val="2"/>
        <scheme val="minor"/>
      </rPr>
      <t xml:space="preserve">. </t>
    </r>
    <r>
      <rPr>
        <i/>
        <sz val="11"/>
        <color theme="1"/>
        <rFont val="Aptos Narrow"/>
        <family val="2"/>
        <scheme val="minor"/>
      </rPr>
      <t xml:space="preserve">(Not a built-in Excel function — usually done with </t>
    </r>
    <r>
      <rPr>
        <i/>
        <sz val="10"/>
        <color theme="1"/>
        <rFont val="Arial Unicode MS"/>
      </rPr>
      <t>MIN</t>
    </r>
    <r>
      <rPr>
        <i/>
        <sz val="11"/>
        <color theme="1"/>
        <rFont val="Aptos Narrow"/>
        <family val="2"/>
        <scheme val="minor"/>
      </rPr>
      <t xml:space="preserve"> + </t>
    </r>
    <r>
      <rPr>
        <i/>
        <sz val="10"/>
        <color theme="1"/>
        <rFont val="Arial Unicode MS"/>
      </rPr>
      <t>IF</t>
    </r>
    <r>
      <rPr>
        <i/>
        <sz val="11"/>
        <color theme="1"/>
        <rFont val="Aptos Narrow"/>
        <family val="2"/>
        <scheme val="minor"/>
      </rPr>
      <t xml:space="preserve"> or </t>
    </r>
    <r>
      <rPr>
        <i/>
        <sz val="10"/>
        <color theme="1"/>
        <rFont val="Arial Unicode MS"/>
      </rPr>
      <t>MINIFS</t>
    </r>
    <r>
      <rPr>
        <i/>
        <sz val="11"/>
        <color theme="1"/>
        <rFont val="Aptos Narrow"/>
        <family val="2"/>
        <scheme val="minor"/>
      </rPr>
      <t>)</t>
    </r>
  </si>
  <si>
    <r>
      <t>=MIN(IF(range=criteria, min_range))</t>
    </r>
    <r>
      <rPr>
        <sz val="11"/>
        <color theme="1"/>
        <rFont val="Aptos Narrow"/>
        <family val="2"/>
        <scheme val="minor"/>
      </rPr>
      <t xml:space="preserve"> → Enter as an array formula in older Excel.</t>
    </r>
  </si>
  <si>
    <t>10. MINIFS</t>
  </si>
  <si>
    <r>
      <t>When to use</t>
    </r>
    <r>
      <rPr>
        <sz val="11"/>
        <color theme="1"/>
        <rFont val="Aptos Narrow"/>
        <family val="2"/>
        <scheme val="minor"/>
      </rPr>
      <t xml:space="preserve">: To </t>
    </r>
    <r>
      <rPr>
        <b/>
        <sz val="11"/>
        <color theme="1"/>
        <rFont val="Aptos Narrow"/>
        <family val="2"/>
        <scheme val="minor"/>
      </rPr>
      <t>find the smallest value based on multiple conditions</t>
    </r>
    <r>
      <rPr>
        <sz val="11"/>
        <color theme="1"/>
        <rFont val="Aptos Narrow"/>
        <family val="2"/>
        <scheme val="minor"/>
      </rPr>
      <t>.</t>
    </r>
  </si>
  <si>
    <t>=MINIFS(min_range, criteria_range1, criteria1, criteria_range2, criteria2, ...)</t>
  </si>
  <si>
    <r>
      <t xml:space="preserve">Example: </t>
    </r>
    <r>
      <rPr>
        <sz val="10"/>
        <color theme="1"/>
        <rFont val="Arial Unicode MS"/>
      </rPr>
      <t>=MINIFS(C2:C10, A2:A10, "West")</t>
    </r>
    <r>
      <rPr>
        <sz val="11"/>
        <color theme="1"/>
        <rFont val="Aptos Narrow"/>
        <family val="2"/>
        <scheme val="minor"/>
      </rPr>
      <t xml:space="preserve"> → Finds the smallest value in C2:C10 where Region = West.</t>
    </r>
  </si>
  <si>
    <t>Systematic End Date</t>
  </si>
  <si>
    <t>Systematic Start Date</t>
  </si>
  <si>
    <t>Day Remaining</t>
  </si>
  <si>
    <t>HOW IT'S WORK -:</t>
  </si>
  <si>
    <t>Formula Used</t>
  </si>
  <si>
    <t>Purpose</t>
  </si>
  <si>
    <r>
      <t xml:space="preserve">This formula is used to convert a date into a </t>
    </r>
    <r>
      <rPr>
        <b/>
        <sz val="11"/>
        <color theme="1"/>
        <rFont val="Aptos Narrow"/>
        <family val="2"/>
        <scheme val="minor"/>
      </rPr>
      <t>systematic (consistent) date format</t>
    </r>
    <r>
      <rPr>
        <sz val="11"/>
        <color theme="1"/>
        <rFont val="Aptos Narrow"/>
        <family val="2"/>
        <scheme val="minor"/>
      </rPr>
      <t xml:space="preserve"> — even if the cell’s original date format is different. It reconstructs the date from its </t>
    </r>
    <r>
      <rPr>
        <b/>
        <sz val="11"/>
        <color theme="1"/>
        <rFont val="Aptos Narrow"/>
        <family val="2"/>
        <scheme val="minor"/>
      </rPr>
      <t>year</t>
    </r>
    <r>
      <rPr>
        <sz val="11"/>
        <color theme="1"/>
        <rFont val="Aptos Narrow"/>
        <family val="2"/>
        <scheme val="minor"/>
      </rPr>
      <t xml:space="preserve">, </t>
    </r>
    <r>
      <rPr>
        <b/>
        <sz val="11"/>
        <color theme="1"/>
        <rFont val="Aptos Narrow"/>
        <family val="2"/>
        <scheme val="minor"/>
      </rPr>
      <t>month</t>
    </r>
    <r>
      <rPr>
        <sz val="11"/>
        <color theme="1"/>
        <rFont val="Aptos Narrow"/>
        <family val="2"/>
        <scheme val="minor"/>
      </rPr>
      <t xml:space="preserve">, and </t>
    </r>
    <r>
      <rPr>
        <b/>
        <sz val="11"/>
        <color theme="1"/>
        <rFont val="Aptos Narrow"/>
        <family val="2"/>
        <scheme val="minor"/>
      </rPr>
      <t>day</t>
    </r>
    <r>
      <rPr>
        <sz val="11"/>
        <color theme="1"/>
        <rFont val="Aptos Narrow"/>
        <family val="2"/>
        <scheme val="minor"/>
      </rPr>
      <t xml:space="preserve"> parts.</t>
    </r>
  </si>
  <si>
    <t>Component Breakdown</t>
  </si>
  <si>
    <t>1. YEAR(B2)</t>
  </si>
  <si>
    <r>
      <t xml:space="preserve">Extracts the </t>
    </r>
    <r>
      <rPr>
        <b/>
        <sz val="11"/>
        <color theme="1"/>
        <rFont val="Aptos Narrow"/>
        <family val="2"/>
        <scheme val="minor"/>
      </rPr>
      <t>year</t>
    </r>
    <r>
      <rPr>
        <sz val="11"/>
        <color theme="1"/>
        <rFont val="Aptos Narrow"/>
        <family val="2"/>
        <scheme val="minor"/>
      </rPr>
      <t xml:space="preserve"> from the date in cell </t>
    </r>
    <r>
      <rPr>
        <b/>
        <sz val="11"/>
        <color theme="1"/>
        <rFont val="Aptos Narrow"/>
        <family val="2"/>
        <scheme val="minor"/>
      </rPr>
      <t>B2</t>
    </r>
    <r>
      <rPr>
        <sz val="11"/>
        <color theme="1"/>
        <rFont val="Aptos Narrow"/>
        <family val="2"/>
        <scheme val="minor"/>
      </rPr>
      <t>.</t>
    </r>
  </si>
  <si>
    <r>
      <t xml:space="preserve">Example: If B2 = </t>
    </r>
    <r>
      <rPr>
        <sz val="10"/>
        <color theme="1"/>
        <rFont val="Arial Unicode MS"/>
      </rPr>
      <t>2024-01-01</t>
    </r>
    <r>
      <rPr>
        <sz val="11"/>
        <color theme="1"/>
        <rFont val="Aptos Narrow"/>
        <family val="2"/>
        <scheme val="minor"/>
      </rPr>
      <t xml:space="preserve">, then </t>
    </r>
    <r>
      <rPr>
        <sz val="10"/>
        <color theme="1"/>
        <rFont val="Arial Unicode MS"/>
      </rPr>
      <t>YEAR(B2)</t>
    </r>
    <r>
      <rPr>
        <sz val="11"/>
        <color theme="1"/>
        <rFont val="Aptos Narrow"/>
        <family val="2"/>
        <scheme val="minor"/>
      </rPr>
      <t xml:space="preserve"> returns </t>
    </r>
    <r>
      <rPr>
        <b/>
        <sz val="11"/>
        <color theme="1"/>
        <rFont val="Aptos Narrow"/>
        <family val="2"/>
        <scheme val="minor"/>
      </rPr>
      <t>2024</t>
    </r>
    <r>
      <rPr>
        <sz val="11"/>
        <color theme="1"/>
        <rFont val="Aptos Narrow"/>
        <family val="2"/>
        <scheme val="minor"/>
      </rPr>
      <t>.</t>
    </r>
  </si>
  <si>
    <t>2. MONTH(B2)</t>
  </si>
  <si>
    <r>
      <t xml:space="preserve">Extracts the </t>
    </r>
    <r>
      <rPr>
        <b/>
        <sz val="11"/>
        <color theme="1"/>
        <rFont val="Aptos Narrow"/>
        <family val="2"/>
        <scheme val="minor"/>
      </rPr>
      <t>month</t>
    </r>
    <r>
      <rPr>
        <sz val="11"/>
        <color theme="1"/>
        <rFont val="Aptos Narrow"/>
        <family val="2"/>
        <scheme val="minor"/>
      </rPr>
      <t xml:space="preserve"> from the date in cell </t>
    </r>
    <r>
      <rPr>
        <b/>
        <sz val="11"/>
        <color theme="1"/>
        <rFont val="Aptos Narrow"/>
        <family val="2"/>
        <scheme val="minor"/>
      </rPr>
      <t>B2</t>
    </r>
    <r>
      <rPr>
        <sz val="11"/>
        <color theme="1"/>
        <rFont val="Aptos Narrow"/>
        <family val="2"/>
        <scheme val="minor"/>
      </rPr>
      <t>.</t>
    </r>
  </si>
  <si>
    <r>
      <t xml:space="preserve">Example: If B2 = </t>
    </r>
    <r>
      <rPr>
        <sz val="10"/>
        <color theme="1"/>
        <rFont val="Arial Unicode MS"/>
      </rPr>
      <t>2024-01-01</t>
    </r>
    <r>
      <rPr>
        <sz val="11"/>
        <color theme="1"/>
        <rFont val="Aptos Narrow"/>
        <family val="2"/>
        <scheme val="minor"/>
      </rPr>
      <t xml:space="preserve">, then </t>
    </r>
    <r>
      <rPr>
        <sz val="10"/>
        <color theme="1"/>
        <rFont val="Arial Unicode MS"/>
      </rPr>
      <t>MONTH(B2)</t>
    </r>
    <r>
      <rPr>
        <sz val="11"/>
        <color theme="1"/>
        <rFont val="Aptos Narrow"/>
        <family val="2"/>
        <scheme val="minor"/>
      </rPr>
      <t xml:space="preserve"> returns </t>
    </r>
    <r>
      <rPr>
        <b/>
        <sz val="11"/>
        <color theme="1"/>
        <rFont val="Aptos Narrow"/>
        <family val="2"/>
        <scheme val="minor"/>
      </rPr>
      <t>1</t>
    </r>
    <r>
      <rPr>
        <sz val="11"/>
        <color theme="1"/>
        <rFont val="Aptos Narrow"/>
        <family val="2"/>
        <scheme val="minor"/>
      </rPr>
      <t xml:space="preserve"> (January).</t>
    </r>
  </si>
  <si>
    <t>3. DAY(B2)</t>
  </si>
  <si>
    <r>
      <t xml:space="preserve">Extracts the </t>
    </r>
    <r>
      <rPr>
        <b/>
        <sz val="11"/>
        <color theme="1"/>
        <rFont val="Aptos Narrow"/>
        <family val="2"/>
        <scheme val="minor"/>
      </rPr>
      <t>day</t>
    </r>
    <r>
      <rPr>
        <sz val="11"/>
        <color theme="1"/>
        <rFont val="Aptos Narrow"/>
        <family val="2"/>
        <scheme val="minor"/>
      </rPr>
      <t xml:space="preserve"> from the date in cell </t>
    </r>
    <r>
      <rPr>
        <b/>
        <sz val="11"/>
        <color theme="1"/>
        <rFont val="Aptos Narrow"/>
        <family val="2"/>
        <scheme val="minor"/>
      </rPr>
      <t>B2</t>
    </r>
    <r>
      <rPr>
        <sz val="11"/>
        <color theme="1"/>
        <rFont val="Aptos Narrow"/>
        <family val="2"/>
        <scheme val="minor"/>
      </rPr>
      <t>.</t>
    </r>
  </si>
  <si>
    <r>
      <t xml:space="preserve">Example: If B2 = </t>
    </r>
    <r>
      <rPr>
        <sz val="10"/>
        <color theme="1"/>
        <rFont val="Arial Unicode MS"/>
      </rPr>
      <t>2024-01-01</t>
    </r>
    <r>
      <rPr>
        <sz val="11"/>
        <color theme="1"/>
        <rFont val="Aptos Narrow"/>
        <family val="2"/>
        <scheme val="minor"/>
      </rPr>
      <t xml:space="preserve">, then </t>
    </r>
    <r>
      <rPr>
        <sz val="10"/>
        <color theme="1"/>
        <rFont val="Arial Unicode MS"/>
      </rPr>
      <t>DAY(B2)</t>
    </r>
    <r>
      <rPr>
        <sz val="11"/>
        <color theme="1"/>
        <rFont val="Aptos Narrow"/>
        <family val="2"/>
        <scheme val="minor"/>
      </rPr>
      <t xml:space="preserve"> returns </t>
    </r>
    <r>
      <rPr>
        <b/>
        <sz val="11"/>
        <color theme="1"/>
        <rFont val="Aptos Narrow"/>
        <family val="2"/>
        <scheme val="minor"/>
      </rPr>
      <t>1</t>
    </r>
    <r>
      <rPr>
        <sz val="11"/>
        <color theme="1"/>
        <rFont val="Aptos Narrow"/>
        <family val="2"/>
        <scheme val="minor"/>
      </rPr>
      <t>.</t>
    </r>
  </si>
  <si>
    <t>4. DATE(year, month, day)</t>
  </si>
  <si>
    <r>
      <t xml:space="preserve">Combines the extracted </t>
    </r>
    <r>
      <rPr>
        <b/>
        <sz val="11"/>
        <color theme="1"/>
        <rFont val="Aptos Narrow"/>
        <family val="2"/>
        <scheme val="minor"/>
      </rPr>
      <t>year</t>
    </r>
    <r>
      <rPr>
        <sz val="11"/>
        <color theme="1"/>
        <rFont val="Aptos Narrow"/>
        <family val="2"/>
        <scheme val="minor"/>
      </rPr>
      <t xml:space="preserve">, </t>
    </r>
    <r>
      <rPr>
        <b/>
        <sz val="11"/>
        <color theme="1"/>
        <rFont val="Aptos Narrow"/>
        <family val="2"/>
        <scheme val="minor"/>
      </rPr>
      <t>month</t>
    </r>
    <r>
      <rPr>
        <sz val="11"/>
        <color theme="1"/>
        <rFont val="Aptos Narrow"/>
        <family val="2"/>
        <scheme val="minor"/>
      </rPr>
      <t xml:space="preserve">, and </t>
    </r>
    <r>
      <rPr>
        <b/>
        <sz val="11"/>
        <color theme="1"/>
        <rFont val="Aptos Narrow"/>
        <family val="2"/>
        <scheme val="minor"/>
      </rPr>
      <t>day</t>
    </r>
    <r>
      <rPr>
        <sz val="11"/>
        <color theme="1"/>
        <rFont val="Aptos Narrow"/>
        <family val="2"/>
        <scheme val="minor"/>
      </rPr>
      <t xml:space="preserve"> into a proper Excel date value.</t>
    </r>
  </si>
  <si>
    <r>
      <t xml:space="preserve">Example: </t>
    </r>
    <r>
      <rPr>
        <sz val="10"/>
        <color theme="1"/>
        <rFont val="Arial Unicode MS"/>
      </rPr>
      <t>DATE(2024, 1, 1)</t>
    </r>
    <r>
      <rPr>
        <sz val="11"/>
        <color theme="1"/>
        <rFont val="Aptos Narrow"/>
        <family val="2"/>
        <scheme val="minor"/>
      </rPr>
      <t xml:space="preserve"> = </t>
    </r>
    <r>
      <rPr>
        <b/>
        <sz val="11"/>
        <color theme="1"/>
        <rFont val="Aptos Narrow"/>
        <family val="2"/>
        <scheme val="minor"/>
      </rPr>
      <t>01-Jan-2024</t>
    </r>
    <r>
      <rPr>
        <sz val="11"/>
        <color theme="1"/>
        <rFont val="Aptos Narrow"/>
        <family val="2"/>
        <scheme val="minor"/>
      </rPr>
      <t>.</t>
    </r>
  </si>
  <si>
    <t>Why This Formula is Used</t>
  </si>
  <si>
    <r>
      <t xml:space="preserve">To </t>
    </r>
    <r>
      <rPr>
        <b/>
        <sz val="11"/>
        <color theme="1"/>
        <rFont val="Aptos Narrow"/>
        <family val="2"/>
        <scheme val="minor"/>
      </rPr>
      <t>standardize</t>
    </r>
    <r>
      <rPr>
        <sz val="11"/>
        <color theme="1"/>
        <rFont val="Aptos Narrow"/>
        <family val="2"/>
        <scheme val="minor"/>
      </rPr>
      <t xml:space="preserve"> dates that might be stored in inconsistent formats.</t>
    </r>
  </si>
  <si>
    <r>
      <t xml:space="preserve">Ensures Excel recognizes them as valid </t>
    </r>
    <r>
      <rPr>
        <b/>
        <sz val="11"/>
        <color theme="1"/>
        <rFont val="Aptos Narrow"/>
        <family val="2"/>
        <scheme val="minor"/>
      </rPr>
      <t>date values</t>
    </r>
    <r>
      <rPr>
        <sz val="11"/>
        <color theme="1"/>
        <rFont val="Aptos Narrow"/>
        <family val="2"/>
        <scheme val="minor"/>
      </rPr>
      <t xml:space="preserve"> (which is important for calculations like differences, sorting, and filtering).</t>
    </r>
  </si>
  <si>
    <t>Can also fix issues caused by text-based dates that look like dates but aren’t recognized by Excel.</t>
  </si>
  <si>
    <t xml:space="preserve">DATE(YEAR(B2), MONTH(B2), DAY(B2)) , date ke aaga = ka sign de dena </t>
  </si>
  <si>
    <t>HOW TO FIND DAY RAMAINING -:</t>
  </si>
  <si>
    <t>Day ramainig find karna ke liy starting data  me se ending date ko substract kar lo .</t>
  </si>
  <si>
    <t xml:space="preserve">ye raha formula jo maina upper wala data ke liya use kiya h </t>
  </si>
  <si>
    <t>E2-C2 ,E2 ke aaga = ka sign laga lena.</t>
  </si>
  <si>
    <t>ye formula dono date ke liya work kara ga starting date aur ending date.</t>
  </si>
  <si>
    <t>Employee Name</t>
  </si>
  <si>
    <t>Date of Joining</t>
  </si>
  <si>
    <t>Date of Birth</t>
  </si>
  <si>
    <t>John Doe</t>
  </si>
  <si>
    <t>Jane Smith</t>
  </si>
  <si>
    <t>Robert Brown</t>
  </si>
  <si>
    <t>Emily Davis</t>
  </si>
  <si>
    <t>Michael Johnson</t>
  </si>
  <si>
    <t>Age Of Employee</t>
  </si>
  <si>
    <t>Age O f Employee In Month</t>
  </si>
  <si>
    <t>Age Of Emplopyee In Days</t>
  </si>
  <si>
    <t>Total Year Of Joining Date As Compare To Today Date</t>
  </si>
  <si>
    <r>
      <t xml:space="preserve">📄 Notes on Age &amp; Tenure Calculation using </t>
    </r>
    <r>
      <rPr>
        <b/>
        <sz val="10"/>
        <color theme="1"/>
        <rFont val="Arial Unicode MS"/>
      </rPr>
      <t>DATEDIF</t>
    </r>
    <r>
      <rPr>
        <b/>
        <sz val="11"/>
        <color theme="1"/>
        <rFont val="Aptos Narrow"/>
        <family val="2"/>
        <scheme val="minor"/>
      </rPr>
      <t xml:space="preserve"> in Excel</t>
    </r>
  </si>
  <si>
    <r>
      <t xml:space="preserve">In this Excel sheet, the </t>
    </r>
    <r>
      <rPr>
        <sz val="10"/>
        <color theme="1"/>
        <rFont val="Arial Unicode MS"/>
      </rPr>
      <t>DATEDIF</t>
    </r>
    <r>
      <rPr>
        <sz val="11"/>
        <color theme="1"/>
        <rFont val="Aptos Narrow"/>
        <family val="2"/>
        <scheme val="minor"/>
      </rPr>
      <t xml:space="preserve"> function is used to calculate:</t>
    </r>
  </si>
  <si>
    <r>
      <t>1. Exact Age of Employee</t>
    </r>
    <r>
      <rPr>
        <sz val="11"/>
        <color theme="1"/>
        <rFont val="Aptos Narrow"/>
        <family val="2"/>
        <scheme val="minor"/>
      </rPr>
      <t xml:space="preserve"> (Years, Months, Days) from Date of Birth.</t>
    </r>
  </si>
  <si>
    <r>
      <t>2. Total Age in Months</t>
    </r>
    <r>
      <rPr>
        <sz val="11"/>
        <color theme="1"/>
        <rFont val="Aptos Narrow"/>
        <family val="2"/>
        <scheme val="minor"/>
      </rPr>
      <t xml:space="preserve"> and </t>
    </r>
    <r>
      <rPr>
        <b/>
        <sz val="11"/>
        <color theme="1"/>
        <rFont val="Aptos Narrow"/>
        <family val="2"/>
        <scheme val="minor"/>
      </rPr>
      <t>Total Age in Days</t>
    </r>
    <r>
      <rPr>
        <sz val="11"/>
        <color theme="1"/>
        <rFont val="Aptos Narrow"/>
        <family val="2"/>
        <scheme val="minor"/>
      </rPr>
      <t>.</t>
    </r>
  </si>
  <si>
    <r>
      <t>3. Tenure</t>
    </r>
    <r>
      <rPr>
        <sz val="11"/>
        <color theme="1"/>
        <rFont val="Aptos Narrow"/>
        <family val="2"/>
        <scheme val="minor"/>
      </rPr>
      <t xml:space="preserve"> from Date of Joining to Today’s Date in Years, Months, Days.</t>
    </r>
  </si>
  <si>
    <t>1. Age of Employee (Column E)</t>
  </si>
  <si>
    <t>Formula:</t>
  </si>
  <si>
    <r>
      <t>DATEDIF(D2, TODAY(), "Y")</t>
    </r>
    <r>
      <rPr>
        <sz val="11"/>
        <color theme="1"/>
        <rFont val="Aptos Narrow"/>
        <family val="2"/>
        <scheme val="minor"/>
      </rPr>
      <t xml:space="preserve"> → Total completed years between Date of Birth and today.</t>
    </r>
  </si>
  <si>
    <r>
      <t>DATEDIF(D2, TODAY(), "YM")</t>
    </r>
    <r>
      <rPr>
        <sz val="11"/>
        <color theme="1"/>
        <rFont val="Aptos Narrow"/>
        <family val="2"/>
        <scheme val="minor"/>
      </rPr>
      <t xml:space="preserve"> → Extra months after the last completed year.</t>
    </r>
  </si>
  <si>
    <r>
      <t>DATEDIF(D2, TODAY(), "MD")</t>
    </r>
    <r>
      <rPr>
        <sz val="11"/>
        <color theme="1"/>
        <rFont val="Aptos Narrow"/>
        <family val="2"/>
        <scheme val="minor"/>
      </rPr>
      <t xml:space="preserve"> → Remaining days after the last completed month.</t>
    </r>
  </si>
  <si>
    <r>
      <t>&amp;</t>
    </r>
    <r>
      <rPr>
        <sz val="11"/>
        <color theme="1"/>
        <rFont val="Aptos Narrow"/>
        <family val="2"/>
        <scheme val="minor"/>
      </rPr>
      <t xml:space="preserve"> → Joins numbers and text into one readable string.</t>
    </r>
  </si>
  <si>
    <t>2. Age of Employee in Months (Column F)</t>
  </si>
  <si>
    <t>Gives total number of months from Date of Birth to today.</t>
  </si>
  <si>
    <t>3. Age of Employee in Days (Column G)</t>
  </si>
  <si>
    <t>Gives total number of days from Date of Birth to today.</t>
  </si>
  <si>
    <t>4. Total Year of Joining Date as Compared to Today Date (Column H)</t>
  </si>
  <si>
    <r>
      <t xml:space="preserve">Same concept as Age calculation, but applied to </t>
    </r>
    <r>
      <rPr>
        <b/>
        <sz val="11"/>
        <color theme="1"/>
        <rFont val="Aptos Narrow"/>
        <family val="2"/>
        <scheme val="minor"/>
      </rPr>
      <t>Date of Joining</t>
    </r>
    <r>
      <rPr>
        <sz val="11"/>
        <color theme="1"/>
        <rFont val="Aptos Narrow"/>
        <family val="2"/>
        <scheme val="minor"/>
      </rPr>
      <t xml:space="preserve"> instead of Date of Birth.</t>
    </r>
  </si>
  <si>
    <r>
      <t xml:space="preserve">Useful to calculate </t>
    </r>
    <r>
      <rPr>
        <b/>
        <sz val="11"/>
        <color theme="1"/>
        <rFont val="Aptos Narrow"/>
        <family val="2"/>
        <scheme val="minor"/>
      </rPr>
      <t>service duration</t>
    </r>
    <r>
      <rPr>
        <sz val="11"/>
        <color theme="1"/>
        <rFont val="Aptos Narrow"/>
        <family val="2"/>
        <scheme val="minor"/>
      </rPr>
      <t>.</t>
    </r>
  </si>
  <si>
    <t>🎯 Purpose of These Calculations:</t>
  </si>
  <si>
    <r>
      <t xml:space="preserve">Track </t>
    </r>
    <r>
      <rPr>
        <b/>
        <sz val="11"/>
        <color theme="1"/>
        <rFont val="Aptos Narrow"/>
        <family val="2"/>
        <scheme val="minor"/>
      </rPr>
      <t>exact employee age</t>
    </r>
    <r>
      <rPr>
        <sz val="11"/>
        <color theme="1"/>
        <rFont val="Aptos Narrow"/>
        <family val="2"/>
        <scheme val="minor"/>
      </rPr>
      <t xml:space="preserve"> for HR compliance and benefits.</t>
    </r>
  </si>
  <si>
    <r>
      <t xml:space="preserve">Calculate </t>
    </r>
    <r>
      <rPr>
        <b/>
        <sz val="11"/>
        <color theme="1"/>
        <rFont val="Aptos Narrow"/>
        <family val="2"/>
        <scheme val="minor"/>
      </rPr>
      <t>total tenure</t>
    </r>
    <r>
      <rPr>
        <sz val="11"/>
        <color theme="1"/>
        <rFont val="Aptos Narrow"/>
        <family val="2"/>
        <scheme val="minor"/>
      </rPr>
      <t xml:space="preserve"> for promotions, retirement, or awards.</t>
    </r>
  </si>
  <si>
    <r>
      <t xml:space="preserve">Present data in </t>
    </r>
    <r>
      <rPr>
        <b/>
        <sz val="11"/>
        <color theme="1"/>
        <rFont val="Aptos Narrow"/>
        <family val="2"/>
        <scheme val="minor"/>
      </rPr>
      <t>different time units</t>
    </r>
    <r>
      <rPr>
        <sz val="11"/>
        <color theme="1"/>
        <rFont val="Aptos Narrow"/>
        <family val="2"/>
        <scheme val="minor"/>
      </rPr>
      <t xml:space="preserve"> (Years-Months-Days, Months, Days) for flexible reporting.</t>
    </r>
  </si>
  <si>
    <t xml:space="preserve">ye bhi same formula use kar ke nikla ga sirf dob ka column ko remove kar ke date of joining wala column ko add karna or enter press kar dena </t>
  </si>
  <si>
    <t>ho jaya ga .</t>
  </si>
  <si>
    <t>HOW TEXT FORMULA WORKS -:</t>
  </si>
  <si>
    <t>1. Formula:</t>
  </si>
  <si>
    <r>
      <t>Purpose:</t>
    </r>
    <r>
      <rPr>
        <sz val="11"/>
        <color theme="1"/>
        <rFont val="Aptos Narrow"/>
        <family val="2"/>
        <scheme val="minor"/>
      </rPr>
      <t xml:space="preserve"> Date ko custom format me text banata hai.</t>
    </r>
  </si>
  <si>
    <t>Component Explanation:</t>
  </si>
  <si>
    <r>
      <t>TEXT:</t>
    </r>
    <r>
      <rPr>
        <sz val="11"/>
        <color theme="1"/>
        <rFont val="Aptos Narrow"/>
        <family val="2"/>
        <scheme val="minor"/>
      </rPr>
      <t xml:space="preserve"> Function jo value ko text format me convert karta hai.</t>
    </r>
  </si>
  <si>
    <r>
      <t>A1:</t>
    </r>
    <r>
      <rPr>
        <sz val="11"/>
        <color theme="1"/>
        <rFont val="Aptos Narrow"/>
        <family val="2"/>
        <scheme val="minor"/>
      </rPr>
      <t xml:space="preserve"> Cell jisme original date hai.</t>
    </r>
  </si>
  <si>
    <r>
      <t>"DD":</t>
    </r>
    <r>
      <rPr>
        <sz val="11"/>
        <color theme="1"/>
        <rFont val="Aptos Narrow"/>
        <family val="2"/>
        <scheme val="minor"/>
      </rPr>
      <t xml:space="preserve"> 2-digit din (e.g., 12).</t>
    </r>
  </si>
  <si>
    <r>
      <t>"MMM":</t>
    </r>
    <r>
      <rPr>
        <sz val="11"/>
        <color theme="1"/>
        <rFont val="Aptos Narrow"/>
        <family val="2"/>
        <scheme val="minor"/>
      </rPr>
      <t xml:space="preserve"> Month ka short name (e.g., Aug).</t>
    </r>
  </si>
  <si>
    <r>
      <t>"YYYY":</t>
    </r>
    <r>
      <rPr>
        <sz val="11"/>
        <color theme="1"/>
        <rFont val="Aptos Narrow"/>
        <family val="2"/>
        <scheme val="minor"/>
      </rPr>
      <t xml:space="preserve"> 4-digit year (e.g., 2025).</t>
    </r>
  </si>
  <si>
    <r>
      <t>Output Example:</t>
    </r>
    <r>
      <rPr>
        <sz val="11"/>
        <color theme="1"/>
        <rFont val="Aptos Narrow"/>
        <family val="2"/>
        <scheme val="minor"/>
      </rPr>
      <t xml:space="preserve"> </t>
    </r>
    <r>
      <rPr>
        <sz val="10"/>
        <color theme="1"/>
        <rFont val="Arial Unicode MS"/>
      </rPr>
      <t>12-Aug-2025</t>
    </r>
  </si>
  <si>
    <t>2. Formula:</t>
  </si>
  <si>
    <r>
      <t>Purpose:</t>
    </r>
    <r>
      <rPr>
        <sz val="11"/>
        <color theme="1"/>
        <rFont val="Aptos Narrow"/>
        <family val="2"/>
        <scheme val="minor"/>
      </rPr>
      <t xml:space="preserve"> Date ko short weekday name + full month name + year me text banata hai.</t>
    </r>
  </si>
  <si>
    <r>
      <t>"DDD":</t>
    </r>
    <r>
      <rPr>
        <sz val="11"/>
        <color theme="1"/>
        <rFont val="Aptos Narrow"/>
        <family val="2"/>
        <scheme val="minor"/>
      </rPr>
      <t xml:space="preserve"> Short weekday name (e.g., Tue).</t>
    </r>
  </si>
  <si>
    <r>
      <t>"MMMM":</t>
    </r>
    <r>
      <rPr>
        <sz val="11"/>
        <color theme="1"/>
        <rFont val="Aptos Narrow"/>
        <family val="2"/>
        <scheme val="minor"/>
      </rPr>
      <t xml:space="preserve"> Full month name (e.g., August).</t>
    </r>
  </si>
  <si>
    <r>
      <t>"YYYY":</t>
    </r>
    <r>
      <rPr>
        <sz val="11"/>
        <color theme="1"/>
        <rFont val="Aptos Narrow"/>
        <family val="2"/>
        <scheme val="minor"/>
      </rPr>
      <t xml:space="preserve"> 4-digit year.</t>
    </r>
  </si>
  <si>
    <r>
      <t>Output Example:</t>
    </r>
    <r>
      <rPr>
        <sz val="11"/>
        <color theme="1"/>
        <rFont val="Aptos Narrow"/>
        <family val="2"/>
        <scheme val="minor"/>
      </rPr>
      <t xml:space="preserve"> </t>
    </r>
    <r>
      <rPr>
        <sz val="10"/>
        <color theme="1"/>
        <rFont val="Arial Unicode MS"/>
      </rPr>
      <t>Tue-August-2025</t>
    </r>
  </si>
  <si>
    <t>3. Formula:</t>
  </si>
  <si>
    <r>
      <t>Purpose:</t>
    </r>
    <r>
      <rPr>
        <sz val="11"/>
        <color theme="1"/>
        <rFont val="Aptos Narrow"/>
        <family val="2"/>
        <scheme val="minor"/>
      </rPr>
      <t xml:space="preserve"> Date ko full weekday name + full month name + year me text banata hai.</t>
    </r>
  </si>
  <si>
    <r>
      <t>"DDDD":</t>
    </r>
    <r>
      <rPr>
        <sz val="11"/>
        <color theme="1"/>
        <rFont val="Aptos Narrow"/>
        <family val="2"/>
        <scheme val="minor"/>
      </rPr>
      <t xml:space="preserve"> Full weekday name (e.g., Tuesday).</t>
    </r>
  </si>
  <si>
    <r>
      <t>Output Example:</t>
    </r>
    <r>
      <rPr>
        <sz val="11"/>
        <color theme="1"/>
        <rFont val="Aptos Narrow"/>
        <family val="2"/>
        <scheme val="minor"/>
      </rPr>
      <t xml:space="preserve"> </t>
    </r>
    <r>
      <rPr>
        <sz val="10"/>
        <color theme="1"/>
        <rFont val="Arial Unicode MS"/>
      </rPr>
      <t>Tuesday-August-2025</t>
    </r>
  </si>
  <si>
    <t xml:space="preserve">TEXT(A3,"DDDD-MMMM-YYYY") TEXT ke aaga = ka sign laga lena </t>
  </si>
  <si>
    <t xml:space="preserve">TEXT(A2,"DDD-MMMM-YYYY")  TEXT ke aaga = ka sign laga lena </t>
  </si>
  <si>
    <t xml:space="preserve">TEXT(A1,"DD-MMM-YYYY")  TEXT ke aaga = ka sign laga lena </t>
  </si>
  <si>
    <r>
      <t xml:space="preserve">              </t>
    </r>
    <r>
      <rPr>
        <b/>
        <sz val="12"/>
        <color theme="1"/>
        <rFont val="Aptos Narrow"/>
        <family val="2"/>
        <scheme val="minor"/>
      </rPr>
      <t xml:space="preserve"> USES OF TEXT FORMULA -:</t>
    </r>
  </si>
  <si>
    <t>USES OF EOMONTH  FORMULA -:</t>
  </si>
  <si>
    <t>End Of MONTH Date</t>
  </si>
  <si>
    <t>EDATE Formula</t>
  </si>
  <si>
    <t>HOW EOMONTH AND EDATE FORMULA WORKS -:</t>
  </si>
  <si>
    <t>1. End of Month Date Formula</t>
  </si>
  <si>
    <t>excel</t>
  </si>
  <si>
    <r>
      <t>Purpose:</t>
    </r>
    <r>
      <rPr>
        <sz val="11"/>
        <color theme="1"/>
        <rFont val="Aptos Narrow"/>
        <family val="2"/>
        <scheme val="minor"/>
      </rPr>
      <t xml:space="preserve"> Start date se given months aage ka last date (month end date) return karta hai.</t>
    </r>
  </si>
  <si>
    <t>Components:</t>
  </si>
  <si>
    <r>
      <t>EOMONTH:</t>
    </r>
    <r>
      <rPr>
        <sz val="11"/>
        <color theme="1"/>
        <rFont val="Aptos Narrow"/>
        <family val="2"/>
        <scheme val="minor"/>
      </rPr>
      <t xml:space="preserve"> Excel function jo kisi date ka month ka last day nikalta hai.</t>
    </r>
  </si>
  <si>
    <r>
      <t>A14:</t>
    </r>
    <r>
      <rPr>
        <sz val="11"/>
        <color theme="1"/>
        <rFont val="Aptos Narrow"/>
        <family val="2"/>
        <scheme val="minor"/>
      </rPr>
      <t xml:space="preserve"> Start date ka cell reference.</t>
    </r>
  </si>
  <si>
    <r>
      <t>2:</t>
    </r>
    <r>
      <rPr>
        <sz val="11"/>
        <color theme="1"/>
        <rFont val="Aptos Narrow"/>
        <family val="2"/>
        <scheme val="minor"/>
      </rPr>
      <t xml:space="preserve"> Months add karne ka number. Positive value → future month; Negative value → past month.</t>
    </r>
  </si>
  <si>
    <t>Example:</t>
  </si>
  <si>
    <r>
      <t>=EOMONTH(2024-01-01, 2)</t>
    </r>
    <r>
      <rPr>
        <sz val="11"/>
        <color theme="1"/>
        <rFont val="Aptos Narrow"/>
        <family val="2"/>
        <scheme val="minor"/>
      </rPr>
      <t xml:space="preserve"> → </t>
    </r>
    <r>
      <rPr>
        <b/>
        <sz val="11"/>
        <color theme="1"/>
        <rFont val="Aptos Narrow"/>
        <family val="2"/>
        <scheme val="minor"/>
      </rPr>
      <t>31-03-2024</t>
    </r>
  </si>
  <si>
    <t>2. EDATE Formula</t>
  </si>
  <si>
    <r>
      <t>Purpose:</t>
    </r>
    <r>
      <rPr>
        <sz val="11"/>
        <color theme="1"/>
        <rFont val="Aptos Narrow"/>
        <family val="2"/>
        <scheme val="minor"/>
      </rPr>
      <t xml:space="preserve"> Start date me given months add karke exact same day ka new date deta hai.</t>
    </r>
  </si>
  <si>
    <r>
      <t>EDATE:</t>
    </r>
    <r>
      <rPr>
        <sz val="11"/>
        <color theme="1"/>
        <rFont val="Aptos Narrow"/>
        <family val="2"/>
        <scheme val="minor"/>
      </rPr>
      <t xml:space="preserve"> Excel function jo date me poore months add/subtract karta hai.</t>
    </r>
  </si>
  <si>
    <r>
      <t>2:</t>
    </r>
    <r>
      <rPr>
        <sz val="11"/>
        <color theme="1"/>
        <rFont val="Aptos Narrow"/>
        <family val="2"/>
        <scheme val="minor"/>
      </rPr>
      <t xml:space="preserve"> Months ka count (Positive → aage, Negative → piche).</t>
    </r>
  </si>
  <si>
    <r>
      <t xml:space="preserve">📌 </t>
    </r>
    <r>
      <rPr>
        <b/>
        <sz val="11"/>
        <color theme="1"/>
        <rFont val="Aptos Narrow"/>
        <family val="2"/>
        <scheme val="minor"/>
      </rPr>
      <t>Main Difference:</t>
    </r>
  </si>
  <si>
    <r>
      <t>EOMONTH</t>
    </r>
    <r>
      <rPr>
        <sz val="11"/>
        <color theme="1"/>
        <rFont val="Aptos Narrow"/>
        <family val="2"/>
        <scheme val="minor"/>
      </rPr>
      <t xml:space="preserve"> → Month ka last date deta hai.</t>
    </r>
  </si>
  <si>
    <r>
      <t>EDATE</t>
    </r>
    <r>
      <rPr>
        <sz val="11"/>
        <color theme="1"/>
        <rFont val="Aptos Narrow"/>
        <family val="2"/>
        <scheme val="minor"/>
      </rPr>
      <t xml:space="preserve"> → Same day maintain karke naya date deta hai.</t>
    </r>
  </si>
  <si>
    <t>EOMONTH(A14, 2)</t>
  </si>
  <si>
    <t>EOMONTH ke aaga = ka sign laga lena aur iss fomula me 2 jo h month h tum chao to month kuch bhi le sakta ho jaisa ki 2,3,4,5,6,7,8,9,10,11,12 , etc.</t>
  </si>
  <si>
    <t>EDATE(A14, 2)</t>
  </si>
  <si>
    <r>
      <t>EDATE(2024-01-01, 2)</t>
    </r>
    <r>
      <rPr>
        <sz val="11"/>
        <color theme="1"/>
        <rFont val="Aptos Narrow"/>
        <family val="2"/>
        <scheme val="minor"/>
      </rPr>
      <t xml:space="preserve"> → </t>
    </r>
    <r>
      <rPr>
        <b/>
        <sz val="11"/>
        <color theme="1"/>
        <rFont val="Aptos Narrow"/>
        <family val="2"/>
        <scheme val="minor"/>
      </rPr>
      <t>01-03-2024 , EOMONTH ke aaga = ka sign laga lena aur iss fomula me 2 jo h month h tum chao to month kuch bhi le sakta ho jaisa ki 2,3,4,5,6,7,8,9,10,11,12 , etc.</t>
    </r>
  </si>
  <si>
    <t>Date</t>
  </si>
  <si>
    <t>Work Days</t>
  </si>
  <si>
    <t>Holidays</t>
  </si>
  <si>
    <t>HOW NETWORKDAYS.INTERNATIONAL(INTL) FORMULA WORKS -:</t>
  </si>
  <si>
    <r>
      <t xml:space="preserve">Short Note on </t>
    </r>
    <r>
      <rPr>
        <b/>
        <sz val="10"/>
        <color theme="1"/>
        <rFont val="Arial Unicode MS"/>
      </rPr>
      <t>=NETWORKDAYS.INTL($A$2,A$32,1,F$2:F$3)</t>
    </r>
  </si>
  <si>
    <t>1. Purpose of Formula:</t>
  </si>
  <si>
    <r>
      <t>NETWORKDAYS.INTL</t>
    </r>
    <r>
      <rPr>
        <sz val="11"/>
        <color theme="1"/>
        <rFont val="Aptos Narrow"/>
        <family val="2"/>
        <scheme val="minor"/>
      </rPr>
      <t xml:space="preserve"> function ka use Excel me do dates ke beech ka </t>
    </r>
    <r>
      <rPr>
        <b/>
        <sz val="11"/>
        <color theme="1"/>
        <rFont val="Aptos Narrow"/>
        <family val="2"/>
        <scheme val="minor"/>
      </rPr>
      <t>total working days</t>
    </r>
    <r>
      <rPr>
        <sz val="11"/>
        <color theme="1"/>
        <rFont val="Aptos Narrow"/>
        <family val="2"/>
        <scheme val="minor"/>
      </rPr>
      <t xml:space="preserve"> nikalne ke liye hota hai.</t>
    </r>
  </si>
  <si>
    <t>Working days ka matlab: Saturday, Sunday aur diye gaye holidays ko exclude karke bache hue din.</t>
  </si>
  <si>
    <t>2. Formula Components:</t>
  </si>
  <si>
    <r>
      <t>$A$2</t>
    </r>
    <r>
      <rPr>
        <sz val="11"/>
        <color theme="1"/>
        <rFont val="Aptos Narrow"/>
        <family val="2"/>
        <scheme val="minor"/>
      </rPr>
      <t xml:space="preserve"> → </t>
    </r>
    <r>
      <rPr>
        <i/>
        <sz val="11"/>
        <color theme="1"/>
        <rFont val="Aptos Narrow"/>
        <family val="2"/>
        <scheme val="minor"/>
      </rPr>
      <t>Start Date</t>
    </r>
  </si>
  <si>
    <t>Yeh wo date hai jahan se working days ka calculation shuru hoga.</t>
  </si>
  <si>
    <r>
      <t>$</t>
    </r>
    <r>
      <rPr>
        <sz val="11"/>
        <color theme="1"/>
        <rFont val="Aptos Narrow"/>
        <family val="2"/>
        <scheme val="minor"/>
      </rPr>
      <t xml:space="preserve"> lagane ka matlab cell reference ko </t>
    </r>
    <r>
      <rPr>
        <b/>
        <sz val="11"/>
        <color theme="1"/>
        <rFont val="Aptos Narrow"/>
        <family val="2"/>
        <scheme val="minor"/>
      </rPr>
      <t>absolute</t>
    </r>
    <r>
      <rPr>
        <sz val="11"/>
        <color theme="1"/>
        <rFont val="Aptos Narrow"/>
        <family val="2"/>
        <scheme val="minor"/>
      </rPr>
      <t xml:space="preserve"> banaya gaya hai, taaki formula copy karne par yeh badle nahi.</t>
    </r>
  </si>
  <si>
    <r>
      <t>A$32</t>
    </r>
    <r>
      <rPr>
        <sz val="11"/>
        <color theme="1"/>
        <rFont val="Aptos Narrow"/>
        <family val="2"/>
        <scheme val="minor"/>
      </rPr>
      <t xml:space="preserve"> → </t>
    </r>
    <r>
      <rPr>
        <i/>
        <sz val="11"/>
        <color theme="1"/>
        <rFont val="Aptos Narrow"/>
        <family val="2"/>
        <scheme val="minor"/>
      </rPr>
      <t>End Date</t>
    </r>
  </si>
  <si>
    <t>Yeh wo date hai jahan tak ka working days calculate karna hai.</t>
  </si>
  <si>
    <r>
      <t xml:space="preserve">Is case me, A32 me </t>
    </r>
    <r>
      <rPr>
        <b/>
        <sz val="11"/>
        <color theme="1"/>
        <rFont val="Aptos Narrow"/>
        <family val="2"/>
        <scheme val="minor"/>
      </rPr>
      <t>31-08-2025</t>
    </r>
    <r>
      <rPr>
        <sz val="11"/>
        <color theme="1"/>
        <rFont val="Aptos Narrow"/>
        <family val="2"/>
        <scheme val="minor"/>
      </rPr>
      <t xml:space="preserve"> hai.</t>
    </r>
  </si>
  <si>
    <r>
      <t>1</t>
    </r>
    <r>
      <rPr>
        <sz val="11"/>
        <color theme="1"/>
        <rFont val="Aptos Narrow"/>
        <family val="2"/>
        <scheme val="minor"/>
      </rPr>
      <t xml:space="preserve"> → </t>
    </r>
    <r>
      <rPr>
        <i/>
        <sz val="11"/>
        <color theme="1"/>
        <rFont val="Aptos Narrow"/>
        <family val="2"/>
        <scheme val="minor"/>
      </rPr>
      <t>Weekend Parameter</t>
    </r>
  </si>
  <si>
    <t>Is number se bataya jata hai ki kaunse din weekend hai.</t>
  </si>
  <si>
    <r>
      <t>1</t>
    </r>
    <r>
      <rPr>
        <sz val="11"/>
        <color theme="1"/>
        <rFont val="Aptos Narrow"/>
        <family val="2"/>
        <scheme val="minor"/>
      </rPr>
      <t xml:space="preserve"> ka matlab: </t>
    </r>
    <r>
      <rPr>
        <b/>
        <sz val="11"/>
        <color theme="1"/>
        <rFont val="Aptos Narrow"/>
        <family val="2"/>
        <scheme val="minor"/>
      </rPr>
      <t>Saturday and Sunday</t>
    </r>
    <r>
      <rPr>
        <sz val="11"/>
        <color theme="1"/>
        <rFont val="Aptos Narrow"/>
        <family val="2"/>
        <scheme val="minor"/>
      </rPr>
      <t xml:space="preserve"> weekend hote hain (default setting).</t>
    </r>
  </si>
  <si>
    <t>Excel me alag values ka matlab:</t>
  </si>
  <si>
    <t>1 = Sat/Sun</t>
  </si>
  <si>
    <t>2 = Sun/Mon</t>
  </si>
  <si>
    <t>7 = Fri/Sat, etc.</t>
  </si>
  <si>
    <r>
      <t>F$2:F$3</t>
    </r>
    <r>
      <rPr>
        <sz val="11"/>
        <color theme="1"/>
        <rFont val="Aptos Narrow"/>
        <family val="2"/>
        <scheme val="minor"/>
      </rPr>
      <t xml:space="preserve"> → </t>
    </r>
    <r>
      <rPr>
        <i/>
        <sz val="11"/>
        <color theme="1"/>
        <rFont val="Aptos Narrow"/>
        <family val="2"/>
        <scheme val="minor"/>
      </rPr>
      <t>Holiday List</t>
    </r>
  </si>
  <si>
    <t>Yeh range me manually holidays list ki gayi hoti hai jo working days me count nahi hoti.</t>
  </si>
  <si>
    <t>Is example me:</t>
  </si>
  <si>
    <t>3. How It Works Here:</t>
  </si>
  <si>
    <r>
      <t xml:space="preserve">Formula </t>
    </r>
    <r>
      <rPr>
        <b/>
        <sz val="11"/>
        <color theme="1"/>
        <rFont val="Aptos Narrow"/>
        <family val="2"/>
        <scheme val="minor"/>
      </rPr>
      <t>1 August 2025</t>
    </r>
    <r>
      <rPr>
        <sz val="11"/>
        <color theme="1"/>
        <rFont val="Aptos Narrow"/>
        <family val="2"/>
        <scheme val="minor"/>
      </rPr>
      <t xml:space="preserve"> se </t>
    </r>
    <r>
      <rPr>
        <b/>
        <sz val="11"/>
        <color theme="1"/>
        <rFont val="Aptos Narrow"/>
        <family val="2"/>
        <scheme val="minor"/>
      </rPr>
      <t>31 August 2025</t>
    </r>
    <r>
      <rPr>
        <sz val="11"/>
        <color theme="1"/>
        <rFont val="Aptos Narrow"/>
        <family val="2"/>
        <scheme val="minor"/>
      </rPr>
      <t xml:space="preserve"> ke beech ke weekdays count karta hai.</t>
    </r>
  </si>
  <si>
    <t>Fir usme se Saturdays, Sundays aur 14 Aug &amp; 15 Aug ke holidays hata deta hai.</t>
  </si>
  <si>
    <r>
      <t xml:space="preserve">Final result </t>
    </r>
    <r>
      <rPr>
        <b/>
        <sz val="11"/>
        <color theme="1"/>
        <rFont val="Aptos Narrow"/>
        <family val="2"/>
        <scheme val="minor"/>
      </rPr>
      <t>19 working days</t>
    </r>
    <r>
      <rPr>
        <sz val="11"/>
        <color theme="1"/>
        <rFont val="Aptos Narrow"/>
        <family val="2"/>
        <scheme val="minor"/>
      </rPr>
      <t xml:space="preserve"> hota hai.</t>
    </r>
  </si>
  <si>
    <t>Naman</t>
  </si>
  <si>
    <t>Priya</t>
  </si>
  <si>
    <t>Rahul</t>
  </si>
  <si>
    <t>Lucknow</t>
  </si>
  <si>
    <t>Uttar Pradesh</t>
  </si>
  <si>
    <t>Jacket</t>
  </si>
  <si>
    <t>Neha</t>
  </si>
  <si>
    <t>Kolkata</t>
  </si>
  <si>
    <t>West Bengal</t>
  </si>
  <si>
    <t>East</t>
  </si>
  <si>
    <t>Smartphone</t>
  </si>
  <si>
    <t>Arjun</t>
  </si>
  <si>
    <t>Indore</t>
  </si>
  <si>
    <t>Madhya Pradesh</t>
  </si>
  <si>
    <t>Central</t>
  </si>
  <si>
    <t>Chair</t>
  </si>
  <si>
    <t>Kavya</t>
  </si>
  <si>
    <t>Bhopal</t>
  </si>
  <si>
    <t>Notebook</t>
  </si>
  <si>
    <t>Varun</t>
  </si>
  <si>
    <t>Patna</t>
  </si>
  <si>
    <t>Wheat Flour</t>
  </si>
  <si>
    <t>Isha</t>
  </si>
  <si>
    <t>Jeans</t>
  </si>
  <si>
    <t>Sameer</t>
  </si>
  <si>
    <t>Tanvi</t>
  </si>
  <si>
    <t>Jaipur</t>
  </si>
  <si>
    <t>Rajasthan</t>
  </si>
  <si>
    <t>Pen</t>
  </si>
  <si>
    <t>Amit</t>
  </si>
  <si>
    <t>Coffee Beans</t>
  </si>
  <si>
    <t>Divya</t>
  </si>
  <si>
    <t>Mohit</t>
  </si>
  <si>
    <t>Cabinet</t>
  </si>
  <si>
    <t>Ritika</t>
  </si>
  <si>
    <t>Marker</t>
  </si>
  <si>
    <t>Pranav</t>
  </si>
  <si>
    <t>Sanya</t>
  </si>
  <si>
    <t>Tea Powder</t>
  </si>
  <si>
    <t>Manish</t>
  </si>
  <si>
    <t>Shoes</t>
  </si>
  <si>
    <t>Pooja</t>
  </si>
  <si>
    <t>Ranchi</t>
  </si>
  <si>
    <t>Jharkhand</t>
  </si>
  <si>
    <t>Bedsheet</t>
  </si>
  <si>
    <t>Noida</t>
  </si>
  <si>
    <t>Mouse</t>
  </si>
  <si>
    <t>Anushka</t>
  </si>
  <si>
    <t>Ludhiana</t>
  </si>
  <si>
    <t>Salt</t>
  </si>
  <si>
    <t>Kunal</t>
  </si>
  <si>
    <t>Goa</t>
  </si>
  <si>
    <t>Hat</t>
  </si>
  <si>
    <t>Shreya</t>
  </si>
  <si>
    <t>Shimla</t>
  </si>
  <si>
    <t>Himachal Pradesh</t>
  </si>
  <si>
    <t>Stapler</t>
  </si>
  <si>
    <t>Row Labels</t>
  </si>
  <si>
    <t>Grand Total</t>
  </si>
  <si>
    <t>Sum of Quantity</t>
  </si>
  <si>
    <t>Count of State</t>
  </si>
  <si>
    <t>Column Labels</t>
  </si>
  <si>
    <t>(All)</t>
  </si>
  <si>
    <t>DEFINATION OF PIVOT  TABLE -:</t>
  </si>
  <si>
    <r>
      <t xml:space="preserve">A </t>
    </r>
    <r>
      <rPr>
        <b/>
        <sz val="11"/>
        <color theme="1"/>
        <rFont val="Aptos Narrow"/>
        <family val="2"/>
        <scheme val="minor"/>
      </rPr>
      <t>Pivot Table in Excel</t>
    </r>
    <r>
      <rPr>
        <sz val="11"/>
        <color theme="1"/>
        <rFont val="Aptos Narrow"/>
        <family val="2"/>
        <scheme val="minor"/>
      </rPr>
      <t xml:space="preserve"> is a tool that quickly summarizes, analyzes, and organizes large amounts of data, allowing you to view it from different perspectives without changing the original data.</t>
    </r>
  </si>
  <si>
    <t>Example: You can use it to find total sales by region, product, or date with just a few clicks.</t>
  </si>
  <si>
    <t>Jan</t>
  </si>
  <si>
    <t>Feb</t>
  </si>
  <si>
    <t>Mar</t>
  </si>
  <si>
    <t>Apr</t>
  </si>
  <si>
    <t>May</t>
  </si>
  <si>
    <t>Jun</t>
  </si>
  <si>
    <t>Jul</t>
  </si>
  <si>
    <t>Aug</t>
  </si>
  <si>
    <t>Sep</t>
  </si>
  <si>
    <t>Oct</t>
  </si>
  <si>
    <t>Nov</t>
  </si>
  <si>
    <t>Dec</t>
  </si>
  <si>
    <t>05-Jan</t>
  </si>
  <si>
    <t>17-Jan</t>
  </si>
  <si>
    <t>Time line tabhi add hoga jab sales date ya phir date row humara table me available hoga aagar humara table me  sales date ya phir date row nahi hoga to humara data me hum timeline nahi use kar sakata h.</t>
  </si>
  <si>
    <t>NOTE -:</t>
  </si>
  <si>
    <t>TO FIND TOP 5 SALES PRODUCT -:</t>
  </si>
  <si>
    <t>HOW TO ADD TIMELINE IN OUR DATA USING PIVOT TABLE -:</t>
  </si>
  <si>
    <t>How to Add a Timeline in Excel using Pivot Table</t>
  </si>
  <si>
    <t>1. Create a Pivot Table</t>
  </si>
  <si>
    <t>Select your data range.</t>
  </si>
  <si>
    <r>
      <t xml:space="preserve">Go to </t>
    </r>
    <r>
      <rPr>
        <b/>
        <sz val="11"/>
        <color theme="1"/>
        <rFont val="Aptos Narrow"/>
        <family val="2"/>
        <scheme val="minor"/>
      </rPr>
      <t>Insert → PivotTable</t>
    </r>
    <r>
      <rPr>
        <sz val="11"/>
        <color theme="1"/>
        <rFont val="Aptos Narrow"/>
        <family val="2"/>
        <scheme val="minor"/>
      </rPr>
      <t xml:space="preserve"> and place it in a new or existing sheet.</t>
    </r>
  </si>
  <si>
    <t>2. Ensure a Date Field Exists</t>
  </si>
  <si>
    <r>
      <t xml:space="preserve">Your source data must have a column with </t>
    </r>
    <r>
      <rPr>
        <b/>
        <sz val="11"/>
        <color theme="1"/>
        <rFont val="Aptos Narrow"/>
        <family val="2"/>
        <scheme val="minor"/>
      </rPr>
      <t>Date values</t>
    </r>
    <r>
      <rPr>
        <sz val="11"/>
        <color theme="1"/>
        <rFont val="Aptos Narrow"/>
        <family val="2"/>
        <scheme val="minor"/>
      </rPr>
      <t xml:space="preserve"> (e.g., </t>
    </r>
    <r>
      <rPr>
        <i/>
        <sz val="11"/>
        <color theme="1"/>
        <rFont val="Aptos Narrow"/>
        <family val="2"/>
        <scheme val="minor"/>
      </rPr>
      <t>Sale Date</t>
    </r>
    <r>
      <rPr>
        <sz val="11"/>
        <color theme="1"/>
        <rFont val="Aptos Narrow"/>
        <family val="2"/>
        <scheme val="minor"/>
      </rPr>
      <t>).</t>
    </r>
  </si>
  <si>
    <t>Without a valid date field, Timeline cannot be added.</t>
  </si>
  <si>
    <t>3. Insert the Timeline</t>
  </si>
  <si>
    <t>Click anywhere inside the Pivot Table.</t>
  </si>
  <si>
    <r>
      <t xml:space="preserve">Go to </t>
    </r>
    <r>
      <rPr>
        <b/>
        <sz val="11"/>
        <color theme="1"/>
        <rFont val="Aptos Narrow"/>
        <family val="2"/>
        <scheme val="minor"/>
      </rPr>
      <t>PivotTable Analyze (or Options) → Insert Timeline</t>
    </r>
    <r>
      <rPr>
        <sz val="11"/>
        <color theme="1"/>
        <rFont val="Aptos Narrow"/>
        <family val="2"/>
        <scheme val="minor"/>
      </rPr>
      <t>.</t>
    </r>
  </si>
  <si>
    <r>
      <t xml:space="preserve">From the list, select the date field (e.g., </t>
    </r>
    <r>
      <rPr>
        <i/>
        <sz val="11"/>
        <color theme="1"/>
        <rFont val="Aptos Narrow"/>
        <family val="2"/>
        <scheme val="minor"/>
      </rPr>
      <t>Sale Date</t>
    </r>
    <r>
      <rPr>
        <sz val="11"/>
        <color theme="1"/>
        <rFont val="Aptos Narrow"/>
        <family val="2"/>
        <scheme val="minor"/>
      </rPr>
      <t>).</t>
    </r>
  </si>
  <si>
    <r>
      <t xml:space="preserve">Click </t>
    </r>
    <r>
      <rPr>
        <b/>
        <sz val="11"/>
        <color theme="1"/>
        <rFont val="Aptos Narrow"/>
        <family val="2"/>
        <scheme val="minor"/>
      </rPr>
      <t>OK</t>
    </r>
    <r>
      <rPr>
        <sz val="11"/>
        <color theme="1"/>
        <rFont val="Aptos Narrow"/>
        <family val="2"/>
        <scheme val="minor"/>
      </rPr>
      <t xml:space="preserve"> — the Timeline will appear on your sheet.</t>
    </r>
  </si>
  <si>
    <t>4. Use the Timeline</t>
  </si>
  <si>
    <r>
      <t xml:space="preserve">Select </t>
    </r>
    <r>
      <rPr>
        <b/>
        <sz val="11"/>
        <color theme="1"/>
        <rFont val="Aptos Narrow"/>
        <family val="2"/>
        <scheme val="minor"/>
      </rPr>
      <t>Months, Quarters, or Years</t>
    </r>
    <r>
      <rPr>
        <sz val="11"/>
        <color theme="1"/>
        <rFont val="Aptos Narrow"/>
        <family val="2"/>
        <scheme val="minor"/>
      </rPr>
      <t xml:space="preserve"> from the drop-down in the Timeline.</t>
    </r>
  </si>
  <si>
    <t>Drag or click on months to filter your Pivot Table data.</t>
  </si>
  <si>
    <t>The Pivot Table will update instantly to show only data for the selected period.</t>
  </si>
  <si>
    <t>5. Important Note</t>
  </si>
  <si>
    <r>
      <t xml:space="preserve">Timeline works </t>
    </r>
    <r>
      <rPr>
        <b/>
        <sz val="11"/>
        <color theme="1"/>
        <rFont val="Aptos Narrow"/>
        <family val="2"/>
        <scheme val="minor"/>
      </rPr>
      <t>only</t>
    </r>
    <r>
      <rPr>
        <sz val="11"/>
        <color theme="1"/>
        <rFont val="Aptos Narrow"/>
        <family val="2"/>
        <scheme val="minor"/>
      </rPr>
      <t xml:space="preserve"> when the Pivot Table has a date field from your source data.</t>
    </r>
  </si>
  <si>
    <t>If no date field is present in your Pivot Table, the Timeline option will be unavailable.</t>
  </si>
  <si>
    <t>HOW TO FIND TOP 5 SALES PRODUCT -:</t>
  </si>
  <si>
    <t>How to Find Top 5 Sales Products using Pivot Table</t>
  </si>
  <si>
    <r>
      <t xml:space="preserve">Go to </t>
    </r>
    <r>
      <rPr>
        <b/>
        <sz val="11"/>
        <color theme="1"/>
        <rFont val="Aptos Narrow"/>
        <family val="2"/>
        <scheme val="minor"/>
      </rPr>
      <t>Insert → PivotTable</t>
    </r>
    <r>
      <rPr>
        <sz val="11"/>
        <color theme="1"/>
        <rFont val="Aptos Narrow"/>
        <family val="2"/>
        <scheme val="minor"/>
      </rPr>
      <t xml:space="preserve"> and choose where you want to place it.</t>
    </r>
  </si>
  <si>
    <t>2. Add Fields</t>
  </si>
  <si>
    <r>
      <t xml:space="preserve">Drag </t>
    </r>
    <r>
      <rPr>
        <b/>
        <sz val="11"/>
        <color theme="1"/>
        <rFont val="Aptos Narrow"/>
        <family val="2"/>
        <scheme val="minor"/>
      </rPr>
      <t>Product Name</t>
    </r>
    <r>
      <rPr>
        <sz val="11"/>
        <color theme="1"/>
        <rFont val="Aptos Narrow"/>
        <family val="2"/>
        <scheme val="minor"/>
      </rPr>
      <t xml:space="preserve"> to the </t>
    </r>
    <r>
      <rPr>
        <b/>
        <sz val="11"/>
        <color theme="1"/>
        <rFont val="Aptos Narrow"/>
        <family val="2"/>
        <scheme val="minor"/>
      </rPr>
      <t>Rows</t>
    </r>
    <r>
      <rPr>
        <sz val="11"/>
        <color theme="1"/>
        <rFont val="Aptos Narrow"/>
        <family val="2"/>
        <scheme val="minor"/>
      </rPr>
      <t xml:space="preserve"> area.</t>
    </r>
  </si>
  <si>
    <r>
      <t xml:space="preserve">Drag </t>
    </r>
    <r>
      <rPr>
        <b/>
        <sz val="11"/>
        <color theme="1"/>
        <rFont val="Aptos Narrow"/>
        <family val="2"/>
        <scheme val="minor"/>
      </rPr>
      <t>Quantity (or Sales)</t>
    </r>
    <r>
      <rPr>
        <sz val="11"/>
        <color theme="1"/>
        <rFont val="Aptos Narrow"/>
        <family val="2"/>
        <scheme val="minor"/>
      </rPr>
      <t xml:space="preserve"> to the </t>
    </r>
    <r>
      <rPr>
        <b/>
        <sz val="11"/>
        <color theme="1"/>
        <rFont val="Aptos Narrow"/>
        <family val="2"/>
        <scheme val="minor"/>
      </rPr>
      <t>Values</t>
    </r>
    <r>
      <rPr>
        <sz val="11"/>
        <color theme="1"/>
        <rFont val="Aptos Narrow"/>
        <family val="2"/>
        <scheme val="minor"/>
      </rPr>
      <t xml:space="preserve"> area (set to </t>
    </r>
    <r>
      <rPr>
        <b/>
        <sz val="11"/>
        <color theme="1"/>
        <rFont val="Aptos Narrow"/>
        <family val="2"/>
        <scheme val="minor"/>
      </rPr>
      <t>Sum</t>
    </r>
    <r>
      <rPr>
        <sz val="11"/>
        <color theme="1"/>
        <rFont val="Aptos Narrow"/>
        <family val="2"/>
        <scheme val="minor"/>
      </rPr>
      <t xml:space="preserve"> if needed).</t>
    </r>
  </si>
  <si>
    <t>3. Apply Value Filters</t>
  </si>
  <si>
    <t>Right-click on any product name in the Pivot Table.</t>
  </si>
  <si>
    <r>
      <t xml:space="preserve">Select </t>
    </r>
    <r>
      <rPr>
        <b/>
        <sz val="11"/>
        <color theme="1"/>
        <rFont val="Aptos Narrow"/>
        <family val="2"/>
        <scheme val="minor"/>
      </rPr>
      <t>Filter → Top 10…</t>
    </r>
    <r>
      <rPr>
        <sz val="11"/>
        <color theme="1"/>
        <rFont val="Aptos Narrow"/>
        <family val="2"/>
        <scheme val="minor"/>
      </rPr>
      <t>.</t>
    </r>
  </si>
  <si>
    <t>In the dialog box:</t>
  </si>
  <si>
    <r>
      <t xml:space="preserve">Change </t>
    </r>
    <r>
      <rPr>
        <b/>
        <sz val="11"/>
        <color theme="1"/>
        <rFont val="Aptos Narrow"/>
        <family val="2"/>
        <scheme val="minor"/>
      </rPr>
      <t>Top 10</t>
    </r>
    <r>
      <rPr>
        <sz val="11"/>
        <color theme="1"/>
        <rFont val="Aptos Narrow"/>
        <family val="2"/>
        <scheme val="minor"/>
      </rPr>
      <t xml:space="preserve"> to </t>
    </r>
    <r>
      <rPr>
        <b/>
        <sz val="11"/>
        <color theme="1"/>
        <rFont val="Aptos Narrow"/>
        <family val="2"/>
        <scheme val="minor"/>
      </rPr>
      <t>Top 5</t>
    </r>
    <r>
      <rPr>
        <sz val="11"/>
        <color theme="1"/>
        <rFont val="Aptos Narrow"/>
        <family val="2"/>
        <scheme val="minor"/>
      </rPr>
      <t>.</t>
    </r>
  </si>
  <si>
    <r>
      <t xml:space="preserve">Select </t>
    </r>
    <r>
      <rPr>
        <b/>
        <sz val="11"/>
        <color theme="1"/>
        <rFont val="Aptos Narrow"/>
        <family val="2"/>
        <scheme val="minor"/>
      </rPr>
      <t>Items</t>
    </r>
    <r>
      <rPr>
        <sz val="11"/>
        <color theme="1"/>
        <rFont val="Aptos Narrow"/>
        <family val="2"/>
        <scheme val="minor"/>
      </rPr>
      <t xml:space="preserve"> and </t>
    </r>
    <r>
      <rPr>
        <b/>
        <sz val="11"/>
        <color theme="1"/>
        <rFont val="Aptos Narrow"/>
        <family val="2"/>
        <scheme val="minor"/>
      </rPr>
      <t>Sum of Quantity</t>
    </r>
    <r>
      <rPr>
        <sz val="11"/>
        <color theme="1"/>
        <rFont val="Aptos Narrow"/>
        <family val="2"/>
        <scheme val="minor"/>
      </rPr>
      <t xml:space="preserve"> (or your metric).</t>
    </r>
  </si>
  <si>
    <r>
      <t xml:space="preserve">Click </t>
    </r>
    <r>
      <rPr>
        <b/>
        <sz val="11"/>
        <color theme="1"/>
        <rFont val="Aptos Narrow"/>
        <family val="2"/>
        <scheme val="minor"/>
      </rPr>
      <t>OK</t>
    </r>
    <r>
      <rPr>
        <sz val="11"/>
        <color theme="1"/>
        <rFont val="Aptos Narrow"/>
        <family val="2"/>
        <scheme val="minor"/>
      </rPr>
      <t>.</t>
    </r>
  </si>
  <si>
    <t>4. Sort (Optional)</t>
  </si>
  <si>
    <r>
      <t xml:space="preserve">To make it clear, sort the values in </t>
    </r>
    <r>
      <rPr>
        <b/>
        <sz val="11"/>
        <color theme="1"/>
        <rFont val="Aptos Narrow"/>
        <family val="2"/>
        <scheme val="minor"/>
      </rPr>
      <t>Descending order</t>
    </r>
    <r>
      <rPr>
        <sz val="11"/>
        <color theme="1"/>
        <rFont val="Aptos Narrow"/>
        <family val="2"/>
        <scheme val="minor"/>
      </rPr>
      <t xml:space="preserve"> so the highest sales appear at the top.</t>
    </r>
  </si>
  <si>
    <r>
      <t xml:space="preserve">✅ </t>
    </r>
    <r>
      <rPr>
        <b/>
        <sz val="11"/>
        <color theme="1"/>
        <rFont val="Aptos Narrow"/>
        <family val="2"/>
        <scheme val="minor"/>
      </rPr>
      <t>Key Point</t>
    </r>
    <r>
      <rPr>
        <sz val="11"/>
        <color theme="1"/>
        <rFont val="Aptos Narrow"/>
        <family val="2"/>
        <scheme val="minor"/>
      </rPr>
      <t>: The "Top 10 Filter" in Pivot Table works for any number — you can change it to Top 3, Top 5, Bottom 5, etc., based on your need.</t>
    </r>
  </si>
  <si>
    <t>HOW TO MAKE THIS -:</t>
  </si>
  <si>
    <t>How to Create State-wise Product Sales Summary and Pivot Chart</t>
  </si>
  <si>
    <t>1. Prepare Your Data</t>
  </si>
  <si>
    <t>Ensure your dataset has at least these columns:</t>
  </si>
  <si>
    <r>
      <t>Sales Quantity</t>
    </r>
    <r>
      <rPr>
        <sz val="11"/>
        <color theme="1"/>
        <rFont val="Aptos Narrow"/>
        <family val="2"/>
        <scheme val="minor"/>
      </rPr>
      <t xml:space="preserve"> (or similar)</t>
    </r>
  </si>
  <si>
    <t>2. Insert a Pivot Table</t>
  </si>
  <si>
    <r>
      <t xml:space="preserve">Go to </t>
    </r>
    <r>
      <rPr>
        <b/>
        <sz val="11"/>
        <color theme="1"/>
        <rFont val="Aptos Narrow"/>
        <family val="2"/>
        <scheme val="minor"/>
      </rPr>
      <t>Insert → PivotTable</t>
    </r>
    <r>
      <rPr>
        <sz val="11"/>
        <color theme="1"/>
        <rFont val="Aptos Narrow"/>
        <family val="2"/>
        <scheme val="minor"/>
      </rPr>
      <t>.</t>
    </r>
  </si>
  <si>
    <r>
      <t xml:space="preserve">Choose whether to place the Pivot Table in a </t>
    </r>
    <r>
      <rPr>
        <b/>
        <sz val="11"/>
        <color theme="1"/>
        <rFont val="Aptos Narrow"/>
        <family val="2"/>
        <scheme val="minor"/>
      </rPr>
      <t>new</t>
    </r>
    <r>
      <rPr>
        <sz val="11"/>
        <color theme="1"/>
        <rFont val="Aptos Narrow"/>
        <family val="2"/>
        <scheme val="minor"/>
      </rPr>
      <t xml:space="preserve"> or </t>
    </r>
    <r>
      <rPr>
        <b/>
        <sz val="11"/>
        <color theme="1"/>
        <rFont val="Aptos Narrow"/>
        <family val="2"/>
        <scheme val="minor"/>
      </rPr>
      <t>existing</t>
    </r>
    <r>
      <rPr>
        <sz val="11"/>
        <color theme="1"/>
        <rFont val="Aptos Narrow"/>
        <family val="2"/>
        <scheme val="minor"/>
      </rPr>
      <t xml:space="preserve"> sheet.</t>
    </r>
  </si>
  <si>
    <t>3. Arrange Pivot Table Fields</t>
  </si>
  <si>
    <r>
      <t xml:space="preserve">Drag </t>
    </r>
    <r>
      <rPr>
        <b/>
        <sz val="11"/>
        <color theme="1"/>
        <rFont val="Aptos Narrow"/>
        <family val="2"/>
        <scheme val="minor"/>
      </rPr>
      <t>State</t>
    </r>
    <r>
      <rPr>
        <sz val="11"/>
        <color theme="1"/>
        <rFont val="Aptos Narrow"/>
        <family val="2"/>
        <scheme val="minor"/>
      </rPr>
      <t xml:space="preserve"> to the </t>
    </r>
    <r>
      <rPr>
        <b/>
        <sz val="11"/>
        <color theme="1"/>
        <rFont val="Aptos Narrow"/>
        <family val="2"/>
        <scheme val="minor"/>
      </rPr>
      <t>Rows</t>
    </r>
    <r>
      <rPr>
        <sz val="11"/>
        <color theme="1"/>
        <rFont val="Aptos Narrow"/>
        <family val="2"/>
        <scheme val="minor"/>
      </rPr>
      <t xml:space="preserve"> area.</t>
    </r>
  </si>
  <si>
    <r>
      <t xml:space="preserve">Drag </t>
    </r>
    <r>
      <rPr>
        <b/>
        <sz val="11"/>
        <color theme="1"/>
        <rFont val="Aptos Narrow"/>
        <family val="2"/>
        <scheme val="minor"/>
      </rPr>
      <t>Product Category</t>
    </r>
    <r>
      <rPr>
        <sz val="11"/>
        <color theme="1"/>
        <rFont val="Aptos Narrow"/>
        <family val="2"/>
        <scheme val="minor"/>
      </rPr>
      <t xml:space="preserve"> to the </t>
    </r>
    <r>
      <rPr>
        <b/>
        <sz val="11"/>
        <color theme="1"/>
        <rFont val="Aptos Narrow"/>
        <family val="2"/>
        <scheme val="minor"/>
      </rPr>
      <t>Columns</t>
    </r>
    <r>
      <rPr>
        <sz val="11"/>
        <color theme="1"/>
        <rFont val="Aptos Narrow"/>
        <family val="2"/>
        <scheme val="minor"/>
      </rPr>
      <t xml:space="preserve"> area.</t>
    </r>
  </si>
  <si>
    <r>
      <t xml:space="preserve">Drag </t>
    </r>
    <r>
      <rPr>
        <b/>
        <sz val="11"/>
        <color theme="1"/>
        <rFont val="Aptos Narrow"/>
        <family val="2"/>
        <scheme val="minor"/>
      </rPr>
      <t>State</t>
    </r>
    <r>
      <rPr>
        <sz val="11"/>
        <color theme="1"/>
        <rFont val="Aptos Narrow"/>
        <family val="2"/>
        <scheme val="minor"/>
      </rPr>
      <t xml:space="preserve"> (or Sales Quantity) to the </t>
    </r>
    <r>
      <rPr>
        <b/>
        <sz val="11"/>
        <color theme="1"/>
        <rFont val="Aptos Narrow"/>
        <family val="2"/>
        <scheme val="minor"/>
      </rPr>
      <t>Values</t>
    </r>
    <r>
      <rPr>
        <sz val="11"/>
        <color theme="1"/>
        <rFont val="Aptos Narrow"/>
        <family val="2"/>
        <scheme val="minor"/>
      </rPr>
      <t xml:space="preserve"> area.</t>
    </r>
  </si>
  <si>
    <r>
      <t xml:space="preserve">Set Value Field Settings to </t>
    </r>
    <r>
      <rPr>
        <b/>
        <sz val="11"/>
        <color theme="1"/>
        <rFont val="Aptos Narrow"/>
        <family val="2"/>
        <scheme val="minor"/>
      </rPr>
      <t>Count</t>
    </r>
    <r>
      <rPr>
        <sz val="11"/>
        <color theme="1"/>
        <rFont val="Aptos Narrow"/>
        <family val="2"/>
        <scheme val="minor"/>
      </rPr>
      <t xml:space="preserve"> (if you want number of sales) or </t>
    </r>
    <r>
      <rPr>
        <b/>
        <sz val="11"/>
        <color theme="1"/>
        <rFont val="Aptos Narrow"/>
        <family val="2"/>
        <scheme val="minor"/>
      </rPr>
      <t>Sum</t>
    </r>
    <r>
      <rPr>
        <sz val="11"/>
        <color theme="1"/>
        <rFont val="Aptos Narrow"/>
        <family val="2"/>
        <scheme val="minor"/>
      </rPr>
      <t xml:space="preserve"> (if you want total quantity).</t>
    </r>
  </si>
  <si>
    <t>4. Show Grand Totals</t>
  </si>
  <si>
    <r>
      <t xml:space="preserve">In </t>
    </r>
    <r>
      <rPr>
        <b/>
        <sz val="11"/>
        <color theme="1"/>
        <rFont val="Aptos Narrow"/>
        <family val="2"/>
        <scheme val="minor"/>
      </rPr>
      <t>PivotTable Analyze → Grand Totals</t>
    </r>
    <r>
      <rPr>
        <sz val="11"/>
        <color theme="1"/>
        <rFont val="Aptos Narrow"/>
        <family val="2"/>
        <scheme val="minor"/>
      </rPr>
      <t xml:space="preserve">, enable </t>
    </r>
    <r>
      <rPr>
        <b/>
        <sz val="11"/>
        <color theme="1"/>
        <rFont val="Aptos Narrow"/>
        <family val="2"/>
        <scheme val="minor"/>
      </rPr>
      <t>On for Rows and Columns</t>
    </r>
    <r>
      <rPr>
        <sz val="11"/>
        <color theme="1"/>
        <rFont val="Aptos Narrow"/>
        <family val="2"/>
        <scheme val="minor"/>
      </rPr>
      <t xml:space="preserve"> to display the total sales per state and overall total.</t>
    </r>
  </si>
  <si>
    <t>5. Insert Pivot Chart</t>
  </si>
  <si>
    <r>
      <t xml:space="preserve">Go to </t>
    </r>
    <r>
      <rPr>
        <b/>
        <sz val="11"/>
        <color theme="1"/>
        <rFont val="Aptos Narrow"/>
        <family val="2"/>
        <scheme val="minor"/>
      </rPr>
      <t>Insert → PivotChart</t>
    </r>
    <r>
      <rPr>
        <sz val="11"/>
        <color theme="1"/>
        <rFont val="Aptos Narrow"/>
        <family val="2"/>
        <scheme val="minor"/>
      </rPr>
      <t>.</t>
    </r>
  </si>
  <si>
    <r>
      <t xml:space="preserve">Select the desired chart type (e.g., </t>
    </r>
    <r>
      <rPr>
        <b/>
        <sz val="11"/>
        <color theme="1"/>
        <rFont val="Aptos Narrow"/>
        <family val="2"/>
        <scheme val="minor"/>
      </rPr>
      <t>3D Area Chart</t>
    </r>
    <r>
      <rPr>
        <sz val="11"/>
        <color theme="1"/>
        <rFont val="Aptos Narrow"/>
        <family val="2"/>
        <scheme val="minor"/>
      </rPr>
      <t xml:space="preserve"> in your case).</t>
    </r>
  </si>
  <si>
    <t>The chart will automatically link to your Pivot Table and update with filters.</t>
  </si>
  <si>
    <t>6. Use Filters in Chart</t>
  </si>
  <si>
    <r>
      <t xml:space="preserve">You can use </t>
    </r>
    <r>
      <rPr>
        <b/>
        <sz val="11"/>
        <color theme="1"/>
        <rFont val="Aptos Narrow"/>
        <family val="2"/>
        <scheme val="minor"/>
      </rPr>
      <t>Product Category</t>
    </r>
    <r>
      <rPr>
        <sz val="11"/>
        <color theme="1"/>
        <rFont val="Aptos Narrow"/>
        <family val="2"/>
        <scheme val="minor"/>
      </rPr>
      <t xml:space="preserve"> or </t>
    </r>
    <r>
      <rPr>
        <b/>
        <sz val="11"/>
        <color theme="1"/>
        <rFont val="Aptos Narrow"/>
        <family val="2"/>
        <scheme val="minor"/>
      </rPr>
      <t>State</t>
    </r>
    <r>
      <rPr>
        <sz val="11"/>
        <color theme="1"/>
        <rFont val="Aptos Narrow"/>
        <family val="2"/>
        <scheme val="minor"/>
      </rPr>
      <t xml:space="preserve"> filters directly in the chart to focus on specific data.</t>
    </r>
  </si>
  <si>
    <r>
      <t xml:space="preserve">✅ </t>
    </r>
    <r>
      <rPr>
        <b/>
        <sz val="11"/>
        <color theme="1"/>
        <rFont val="Aptos Narrow"/>
        <family val="2"/>
        <scheme val="minor"/>
      </rPr>
      <t>Key Point</t>
    </r>
    <r>
      <rPr>
        <sz val="11"/>
        <color theme="1"/>
        <rFont val="Aptos Narrow"/>
        <family val="2"/>
        <scheme val="minor"/>
      </rPr>
      <t>: Pivot Charts are dynamic — any filter or selection you apply to the Pivot Table will instantly reflect in the chart.</t>
    </r>
  </si>
  <si>
    <t>HOW TO MAKE IT -:</t>
  </si>
  <si>
    <t>How to Create State-wise Clothing Sales Summary and Pivot Chart</t>
  </si>
  <si>
    <t>Ensure your dataset includes:</t>
  </si>
  <si>
    <r>
      <t>Sales Quantity</t>
    </r>
    <r>
      <rPr>
        <sz val="11"/>
        <color theme="1"/>
        <rFont val="Aptos Narrow"/>
        <family val="2"/>
        <scheme val="minor"/>
      </rPr>
      <t xml:space="preserve"> (or similar numeric field).</t>
    </r>
  </si>
  <si>
    <r>
      <t xml:space="preserve">Choose </t>
    </r>
    <r>
      <rPr>
        <b/>
        <sz val="11"/>
        <color theme="1"/>
        <rFont val="Aptos Narrow"/>
        <family val="2"/>
        <scheme val="minor"/>
      </rPr>
      <t>New Worksheet</t>
    </r>
    <r>
      <rPr>
        <sz val="11"/>
        <color theme="1"/>
        <rFont val="Aptos Narrow"/>
        <family val="2"/>
        <scheme val="minor"/>
      </rPr>
      <t xml:space="preserve"> or </t>
    </r>
    <r>
      <rPr>
        <b/>
        <sz val="11"/>
        <color theme="1"/>
        <rFont val="Aptos Narrow"/>
        <family val="2"/>
        <scheme val="minor"/>
      </rPr>
      <t>Existing Worksheet</t>
    </r>
    <r>
      <rPr>
        <sz val="11"/>
        <color theme="1"/>
        <rFont val="Aptos Narrow"/>
        <family val="2"/>
        <scheme val="minor"/>
      </rPr>
      <t xml:space="preserve"> as needed.</t>
    </r>
  </si>
  <si>
    <r>
      <t xml:space="preserve">Drag </t>
    </r>
    <r>
      <rPr>
        <b/>
        <sz val="11"/>
        <color theme="1"/>
        <rFont val="Aptos Narrow"/>
        <family val="2"/>
        <scheme val="minor"/>
      </rPr>
      <t>Region</t>
    </r>
    <r>
      <rPr>
        <sz val="11"/>
        <color theme="1"/>
        <rFont val="Aptos Narrow"/>
        <family val="2"/>
        <scheme val="minor"/>
      </rPr>
      <t xml:space="preserve"> (North/South/East/West) to the </t>
    </r>
    <r>
      <rPr>
        <b/>
        <sz val="11"/>
        <color theme="1"/>
        <rFont val="Aptos Narrow"/>
        <family val="2"/>
        <scheme val="minor"/>
      </rPr>
      <t>Columns</t>
    </r>
    <r>
      <rPr>
        <sz val="11"/>
        <color theme="1"/>
        <rFont val="Aptos Narrow"/>
        <family val="2"/>
        <scheme val="minor"/>
      </rPr>
      <t xml:space="preserve"> area.</t>
    </r>
  </si>
  <si>
    <r>
      <t xml:space="preserve">Drag </t>
    </r>
    <r>
      <rPr>
        <b/>
        <sz val="11"/>
        <color theme="1"/>
        <rFont val="Aptos Narrow"/>
        <family val="2"/>
        <scheme val="minor"/>
      </rPr>
      <t>Quantity</t>
    </r>
    <r>
      <rPr>
        <sz val="11"/>
        <color theme="1"/>
        <rFont val="Aptos Narrow"/>
        <family val="2"/>
        <scheme val="minor"/>
      </rPr>
      <t xml:space="preserve"> to the </t>
    </r>
    <r>
      <rPr>
        <b/>
        <sz val="11"/>
        <color theme="1"/>
        <rFont val="Aptos Narrow"/>
        <family val="2"/>
        <scheme val="minor"/>
      </rPr>
      <t>Values</t>
    </r>
    <r>
      <rPr>
        <sz val="11"/>
        <color theme="1"/>
        <rFont val="Aptos Narrow"/>
        <family val="2"/>
        <scheme val="minor"/>
      </rPr>
      <t xml:space="preserve"> area and set it to </t>
    </r>
    <r>
      <rPr>
        <b/>
        <sz val="11"/>
        <color theme="1"/>
        <rFont val="Aptos Narrow"/>
        <family val="2"/>
        <scheme val="minor"/>
      </rPr>
      <t>Sum</t>
    </r>
    <r>
      <rPr>
        <sz val="11"/>
        <color theme="1"/>
        <rFont val="Aptos Narrow"/>
        <family val="2"/>
        <scheme val="minor"/>
      </rPr>
      <t>.</t>
    </r>
  </si>
  <si>
    <r>
      <t xml:space="preserve">Drag </t>
    </r>
    <r>
      <rPr>
        <b/>
        <sz val="11"/>
        <color theme="1"/>
        <rFont val="Aptos Narrow"/>
        <family val="2"/>
        <scheme val="minor"/>
      </rPr>
      <t>Product Category</t>
    </r>
    <r>
      <rPr>
        <sz val="11"/>
        <color theme="1"/>
        <rFont val="Aptos Narrow"/>
        <family val="2"/>
        <scheme val="minor"/>
      </rPr>
      <t xml:space="preserve"> to the </t>
    </r>
    <r>
      <rPr>
        <b/>
        <sz val="11"/>
        <color theme="1"/>
        <rFont val="Aptos Narrow"/>
        <family val="2"/>
        <scheme val="minor"/>
      </rPr>
      <t>Filters</t>
    </r>
    <r>
      <rPr>
        <sz val="11"/>
        <color theme="1"/>
        <rFont val="Aptos Narrow"/>
        <family val="2"/>
        <scheme val="minor"/>
      </rPr>
      <t xml:space="preserve"> area and select </t>
    </r>
    <r>
      <rPr>
        <b/>
        <sz val="11"/>
        <color theme="1"/>
        <rFont val="Aptos Narrow"/>
        <family val="2"/>
        <scheme val="minor"/>
      </rPr>
      <t>Clothing</t>
    </r>
    <r>
      <rPr>
        <sz val="11"/>
        <color theme="1"/>
        <rFont val="Aptos Narrow"/>
        <family val="2"/>
        <scheme val="minor"/>
      </rPr>
      <t xml:space="preserve"> to filter only clothing sales.</t>
    </r>
  </si>
  <si>
    <r>
      <t xml:space="preserve">Go to </t>
    </r>
    <r>
      <rPr>
        <b/>
        <sz val="11"/>
        <color theme="1"/>
        <rFont val="Aptos Narrow"/>
        <family val="2"/>
        <scheme val="minor"/>
      </rPr>
      <t>PivotTable Analyze → Grand Totals → On for Rows and Columns</t>
    </r>
    <r>
      <rPr>
        <sz val="11"/>
        <color theme="1"/>
        <rFont val="Aptos Narrow"/>
        <family val="2"/>
        <scheme val="minor"/>
      </rPr>
      <t xml:space="preserve"> to display totals.</t>
    </r>
  </si>
  <si>
    <t>Click anywhere in the Pivot Table.</t>
  </si>
  <si>
    <r>
      <t xml:space="preserve">Select a chart type (e.g., </t>
    </r>
    <r>
      <rPr>
        <b/>
        <sz val="11"/>
        <color theme="1"/>
        <rFont val="Aptos Narrow"/>
        <family val="2"/>
        <scheme val="minor"/>
      </rPr>
      <t>Clustered Column</t>
    </r>
    <r>
      <rPr>
        <sz val="11"/>
        <color theme="1"/>
        <rFont val="Aptos Narrow"/>
        <family val="2"/>
        <scheme val="minor"/>
      </rPr>
      <t xml:space="preserve"> as shown in your screenshot).</t>
    </r>
  </si>
  <si>
    <t>The chart will now show clothing sales by state and region, with automatic filtering options.</t>
  </si>
  <si>
    <r>
      <t xml:space="preserve">✅ </t>
    </r>
    <r>
      <rPr>
        <b/>
        <sz val="11"/>
        <color theme="1"/>
        <rFont val="Aptos Narrow"/>
        <family val="2"/>
        <scheme val="minor"/>
      </rPr>
      <t>Key Point</t>
    </r>
    <r>
      <rPr>
        <sz val="11"/>
        <color theme="1"/>
        <rFont val="Aptos Narrow"/>
        <family val="2"/>
        <scheme val="minor"/>
      </rPr>
      <t>: Pivot Charts are dynamic — any filter or selection in the Pivot Table updates the chart instantly.</t>
    </r>
  </si>
  <si>
    <t>MAINA HER PRODUCT KA DATA KO AALAG AALG SHEET PER LIYA HU TO PRODUCT DATA KO KAISA AALAG SHEET PER LIYA JATA H -:</t>
  </si>
  <si>
    <t>1) State-wise Product Total in Pivot Table</t>
  </si>
  <si>
    <r>
      <t>Purpose</t>
    </r>
    <r>
      <rPr>
        <sz val="11"/>
        <color theme="1"/>
        <rFont val="Aptos Narrow"/>
        <family val="2"/>
        <scheme val="minor"/>
      </rPr>
      <t>: To see how much of each product was sold in each state, along with totals.</t>
    </r>
  </si>
  <si>
    <r>
      <t>Steps</t>
    </r>
    <r>
      <rPr>
        <sz val="11"/>
        <color theme="1"/>
        <rFont val="Aptos Narrow"/>
        <family val="2"/>
        <scheme val="minor"/>
      </rPr>
      <t>:</t>
    </r>
  </si>
  <si>
    <t>1. Select your dataset.</t>
  </si>
  <si>
    <r>
      <t xml:space="preserve">2. Go to </t>
    </r>
    <r>
      <rPr>
        <b/>
        <sz val="11"/>
        <color theme="1"/>
        <rFont val="Aptos Narrow"/>
        <family val="2"/>
        <scheme val="minor"/>
      </rPr>
      <t>Insert → PivotTable</t>
    </r>
    <r>
      <rPr>
        <sz val="11"/>
        <color theme="1"/>
        <rFont val="Aptos Narrow"/>
        <family val="2"/>
        <scheme val="minor"/>
      </rPr>
      <t>.</t>
    </r>
  </si>
  <si>
    <r>
      <t xml:space="preserve">3. In the </t>
    </r>
    <r>
      <rPr>
        <b/>
        <sz val="11"/>
        <color theme="1"/>
        <rFont val="Aptos Narrow"/>
        <family val="2"/>
        <scheme val="minor"/>
      </rPr>
      <t>PivotTable Fields</t>
    </r>
    <r>
      <rPr>
        <sz val="11"/>
        <color theme="1"/>
        <rFont val="Aptos Narrow"/>
        <family val="2"/>
        <scheme val="minor"/>
      </rPr>
      <t xml:space="preserve"> panel:</t>
    </r>
  </si>
  <si>
    <r>
      <t xml:space="preserve">Drag </t>
    </r>
    <r>
      <rPr>
        <b/>
        <sz val="11"/>
        <color theme="1"/>
        <rFont val="Aptos Narrow"/>
        <family val="2"/>
        <scheme val="minor"/>
      </rPr>
      <t>State</t>
    </r>
    <r>
      <rPr>
        <sz val="11"/>
        <color theme="1"/>
        <rFont val="Aptos Narrow"/>
        <family val="2"/>
        <scheme val="minor"/>
      </rPr>
      <t xml:space="preserve"> to </t>
    </r>
    <r>
      <rPr>
        <b/>
        <sz val="11"/>
        <color theme="1"/>
        <rFont val="Aptos Narrow"/>
        <family val="2"/>
        <scheme val="minor"/>
      </rPr>
      <t>Rows</t>
    </r>
    <r>
      <rPr>
        <sz val="11"/>
        <color theme="1"/>
        <rFont val="Aptos Narrow"/>
        <family val="2"/>
        <scheme val="minor"/>
      </rPr>
      <t>.</t>
    </r>
  </si>
  <si>
    <r>
      <t xml:space="preserve">Drag </t>
    </r>
    <r>
      <rPr>
        <b/>
        <sz val="11"/>
        <color theme="1"/>
        <rFont val="Aptos Narrow"/>
        <family val="2"/>
        <scheme val="minor"/>
      </rPr>
      <t>Product</t>
    </r>
    <r>
      <rPr>
        <sz val="11"/>
        <color theme="1"/>
        <rFont val="Aptos Narrow"/>
        <family val="2"/>
        <scheme val="minor"/>
      </rPr>
      <t xml:space="preserve"> to </t>
    </r>
    <r>
      <rPr>
        <b/>
        <sz val="11"/>
        <color theme="1"/>
        <rFont val="Aptos Narrow"/>
        <family val="2"/>
        <scheme val="minor"/>
      </rPr>
      <t>Columns</t>
    </r>
    <r>
      <rPr>
        <sz val="11"/>
        <color theme="1"/>
        <rFont val="Aptos Narrow"/>
        <family val="2"/>
        <scheme val="minor"/>
      </rPr>
      <t>.</t>
    </r>
  </si>
  <si>
    <r>
      <t xml:space="preserve">Drag </t>
    </r>
    <r>
      <rPr>
        <b/>
        <sz val="11"/>
        <color theme="1"/>
        <rFont val="Aptos Narrow"/>
        <family val="2"/>
        <scheme val="minor"/>
      </rPr>
      <t>Quantity</t>
    </r>
    <r>
      <rPr>
        <sz val="11"/>
        <color theme="1"/>
        <rFont val="Aptos Narrow"/>
        <family val="2"/>
        <scheme val="minor"/>
      </rPr>
      <t xml:space="preserve"> (or Sales) to </t>
    </r>
    <r>
      <rPr>
        <b/>
        <sz val="11"/>
        <color theme="1"/>
        <rFont val="Aptos Narrow"/>
        <family val="2"/>
        <scheme val="minor"/>
      </rPr>
      <t>Values</t>
    </r>
    <r>
      <rPr>
        <sz val="11"/>
        <color theme="1"/>
        <rFont val="Aptos Narrow"/>
        <family val="2"/>
        <scheme val="minor"/>
      </rPr>
      <t xml:space="preserve"> (set to </t>
    </r>
    <r>
      <rPr>
        <b/>
        <sz val="11"/>
        <color theme="1"/>
        <rFont val="Aptos Narrow"/>
        <family val="2"/>
        <scheme val="minor"/>
      </rPr>
      <t>Sum</t>
    </r>
    <r>
      <rPr>
        <sz val="11"/>
        <color theme="1"/>
        <rFont val="Aptos Narrow"/>
        <family val="2"/>
        <scheme val="minor"/>
      </rPr>
      <t>).</t>
    </r>
  </si>
  <si>
    <r>
      <t xml:space="preserve">4. The Pivot Table will now show </t>
    </r>
    <r>
      <rPr>
        <b/>
        <sz val="11"/>
        <color theme="1"/>
        <rFont val="Aptos Narrow"/>
        <family val="2"/>
        <scheme val="minor"/>
      </rPr>
      <t>State</t>
    </r>
    <r>
      <rPr>
        <sz val="11"/>
        <color theme="1"/>
        <rFont val="Aptos Narrow"/>
        <family val="2"/>
        <scheme val="minor"/>
      </rPr>
      <t xml:space="preserve"> in rows, </t>
    </r>
    <r>
      <rPr>
        <b/>
        <sz val="11"/>
        <color theme="1"/>
        <rFont val="Aptos Narrow"/>
        <family val="2"/>
        <scheme val="minor"/>
      </rPr>
      <t>Products</t>
    </r>
    <r>
      <rPr>
        <sz val="11"/>
        <color theme="1"/>
        <rFont val="Aptos Narrow"/>
        <family val="2"/>
        <scheme val="minor"/>
      </rPr>
      <t xml:space="preserve"> in columns, and totals for each state and product.</t>
    </r>
  </si>
  <si>
    <r>
      <t>5. Grand Totals</t>
    </r>
    <r>
      <rPr>
        <sz val="11"/>
        <color theme="1"/>
        <rFont val="Aptos Narrow"/>
        <family val="2"/>
        <scheme val="minor"/>
      </rPr>
      <t xml:space="preserve">: Go to </t>
    </r>
    <r>
      <rPr>
        <b/>
        <sz val="11"/>
        <color theme="1"/>
        <rFont val="Aptos Narrow"/>
        <family val="2"/>
        <scheme val="minor"/>
      </rPr>
      <t>PivotTable Analyze → Grand Totals → On for Rows and Columns</t>
    </r>
    <r>
      <rPr>
        <sz val="11"/>
        <color theme="1"/>
        <rFont val="Aptos Narrow"/>
        <family val="2"/>
        <scheme val="minor"/>
      </rPr>
      <t>.</t>
    </r>
  </si>
  <si>
    <t>2) Separate Each Product’s Data into Different Sheets</t>
  </si>
  <si>
    <r>
      <t>Purpose</t>
    </r>
    <r>
      <rPr>
        <sz val="11"/>
        <color theme="1"/>
        <rFont val="Aptos Narrow"/>
        <family val="2"/>
        <scheme val="minor"/>
      </rPr>
      <t>: To create one sheet per product automatically.</t>
    </r>
  </si>
  <si>
    <r>
      <t>Method</t>
    </r>
    <r>
      <rPr>
        <sz val="11"/>
        <color theme="1"/>
        <rFont val="Aptos Narrow"/>
        <family val="2"/>
        <scheme val="minor"/>
      </rPr>
      <t xml:space="preserve">: </t>
    </r>
    <r>
      <rPr>
        <b/>
        <sz val="11"/>
        <color theme="1"/>
        <rFont val="Aptos Narrow"/>
        <family val="2"/>
        <scheme val="minor"/>
      </rPr>
      <t>PivotTable Report Filter Pages</t>
    </r>
  </si>
  <si>
    <r>
      <t xml:space="preserve">1. Ensure your Pivot Table has </t>
    </r>
    <r>
      <rPr>
        <b/>
        <sz val="11"/>
        <color theme="1"/>
        <rFont val="Aptos Narrow"/>
        <family val="2"/>
        <scheme val="minor"/>
      </rPr>
      <t>Product</t>
    </r>
    <r>
      <rPr>
        <sz val="11"/>
        <color theme="1"/>
        <rFont val="Aptos Narrow"/>
        <family val="2"/>
        <scheme val="minor"/>
      </rPr>
      <t xml:space="preserve"> in the </t>
    </r>
    <r>
      <rPr>
        <b/>
        <sz val="11"/>
        <color theme="1"/>
        <rFont val="Aptos Narrow"/>
        <family val="2"/>
        <scheme val="minor"/>
      </rPr>
      <t>Filters</t>
    </r>
    <r>
      <rPr>
        <sz val="11"/>
        <color theme="1"/>
        <rFont val="Aptos Narrow"/>
        <family val="2"/>
        <scheme val="minor"/>
      </rPr>
      <t xml:space="preserve"> area.</t>
    </r>
  </si>
  <si>
    <t>2. Click anywhere inside the Pivot Table.</t>
  </si>
  <si>
    <r>
      <t xml:space="preserve">3. Go to </t>
    </r>
    <r>
      <rPr>
        <b/>
        <sz val="11"/>
        <color theme="1"/>
        <rFont val="Aptos Narrow"/>
        <family val="2"/>
        <scheme val="minor"/>
      </rPr>
      <t>PivotTable Analyze → Options → Show Report Filter Pages</t>
    </r>
    <r>
      <rPr>
        <sz val="11"/>
        <color theme="1"/>
        <rFont val="Aptos Narrow"/>
        <family val="2"/>
        <scheme val="minor"/>
      </rPr>
      <t>.</t>
    </r>
  </si>
  <si>
    <r>
      <t>4. Select the filter field (</t>
    </r>
    <r>
      <rPr>
        <b/>
        <sz val="11"/>
        <color theme="1"/>
        <rFont val="Aptos Narrow"/>
        <family val="2"/>
        <scheme val="minor"/>
      </rPr>
      <t>Product</t>
    </r>
    <r>
      <rPr>
        <sz val="11"/>
        <color theme="1"/>
        <rFont val="Aptos Narrow"/>
        <family val="2"/>
        <scheme val="minor"/>
      </rPr>
      <t>).</t>
    </r>
  </si>
  <si>
    <r>
      <t xml:space="preserve">5. Excel will automatically create a </t>
    </r>
    <r>
      <rPr>
        <b/>
        <sz val="11"/>
        <color theme="1"/>
        <rFont val="Aptos Narrow"/>
        <family val="2"/>
        <scheme val="minor"/>
      </rPr>
      <t>separate sheet</t>
    </r>
    <r>
      <rPr>
        <sz val="11"/>
        <color theme="1"/>
        <rFont val="Aptos Narrow"/>
        <family val="2"/>
        <scheme val="minor"/>
      </rPr>
      <t xml:space="preserve"> for each product with its own Pivot Table.</t>
    </r>
  </si>
  <si>
    <r>
      <t>Tip</t>
    </r>
    <r>
      <rPr>
        <sz val="11"/>
        <color theme="1"/>
        <rFont val="Aptos Narrow"/>
        <family val="2"/>
        <scheme val="minor"/>
      </rPr>
      <t>:</t>
    </r>
  </si>
  <si>
    <t>Before doing this, make sure your Pivot Table layout is clean (no extra formatting) so all sheets are consistent.</t>
  </si>
  <si>
    <r>
      <t xml:space="preserve">This method works for any field, not just Product — you could do it for </t>
    </r>
    <r>
      <rPr>
        <b/>
        <sz val="11"/>
        <color theme="1"/>
        <rFont val="Aptos Narrow"/>
        <family val="2"/>
        <scheme val="minor"/>
      </rPr>
      <t>State</t>
    </r>
    <r>
      <rPr>
        <sz val="11"/>
        <color theme="1"/>
        <rFont val="Aptos Narrow"/>
        <family val="2"/>
        <scheme val="minor"/>
      </rPr>
      <t xml:space="preserve">, </t>
    </r>
    <r>
      <rPr>
        <b/>
        <sz val="11"/>
        <color theme="1"/>
        <rFont val="Aptos Narrow"/>
        <family val="2"/>
        <scheme val="minor"/>
      </rPr>
      <t>Category</t>
    </r>
    <r>
      <rPr>
        <sz val="11"/>
        <color theme="1"/>
        <rFont val="Aptos Narrow"/>
        <family val="2"/>
        <scheme val="minor"/>
      </rPr>
      <t>, etc.</t>
    </r>
  </si>
  <si>
    <t>Make sure your dataset has:</t>
  </si>
  <si>
    <r>
      <t>Quantity Sold</t>
    </r>
    <r>
      <rPr>
        <sz val="11"/>
        <color theme="1"/>
        <rFont val="Aptos Narrow"/>
        <family val="2"/>
        <scheme val="minor"/>
      </rPr>
      <t xml:space="preserve"> (or Sales Amount)</t>
    </r>
  </si>
  <si>
    <r>
      <t>Date</t>
    </r>
    <r>
      <rPr>
        <sz val="11"/>
        <color theme="1"/>
        <rFont val="Aptos Narrow"/>
        <family val="2"/>
        <scheme val="minor"/>
      </rPr>
      <t xml:space="preserve"> (if you plan to use a Timeline later)</t>
    </r>
  </si>
  <si>
    <t>2. Create the Pivot Table</t>
  </si>
  <si>
    <t>1. Select your data range.</t>
  </si>
  <si>
    <r>
      <t xml:space="preserve">3. Choose </t>
    </r>
    <r>
      <rPr>
        <b/>
        <sz val="11"/>
        <color theme="1"/>
        <rFont val="Aptos Narrow"/>
        <family val="2"/>
        <scheme val="minor"/>
      </rPr>
      <t>New Worksheet</t>
    </r>
    <r>
      <rPr>
        <sz val="11"/>
        <color theme="1"/>
        <rFont val="Aptos Narrow"/>
        <family val="2"/>
        <scheme val="minor"/>
      </rPr>
      <t xml:space="preserve"> or </t>
    </r>
    <r>
      <rPr>
        <b/>
        <sz val="11"/>
        <color theme="1"/>
        <rFont val="Aptos Narrow"/>
        <family val="2"/>
        <scheme val="minor"/>
      </rPr>
      <t>Existing Worksheet</t>
    </r>
    <r>
      <rPr>
        <sz val="11"/>
        <color theme="1"/>
        <rFont val="Aptos Narrow"/>
        <family val="2"/>
        <scheme val="minor"/>
      </rPr>
      <t>.</t>
    </r>
  </si>
  <si>
    <t>3. Arrange the Pivot Table Fields</t>
  </si>
  <si>
    <r>
      <t xml:space="preserve">1. Drag </t>
    </r>
    <r>
      <rPr>
        <b/>
        <sz val="11"/>
        <color theme="1"/>
        <rFont val="Aptos Narrow"/>
        <family val="2"/>
        <scheme val="minor"/>
      </rPr>
      <t>State</t>
    </r>
    <r>
      <rPr>
        <sz val="11"/>
        <color theme="1"/>
        <rFont val="Aptos Narrow"/>
        <family val="2"/>
        <scheme val="minor"/>
      </rPr>
      <t xml:space="preserve"> → </t>
    </r>
    <r>
      <rPr>
        <b/>
        <sz val="11"/>
        <color theme="1"/>
        <rFont val="Aptos Narrow"/>
        <family val="2"/>
        <scheme val="minor"/>
      </rPr>
      <t>Rows</t>
    </r>
    <r>
      <rPr>
        <sz val="11"/>
        <color theme="1"/>
        <rFont val="Aptos Narrow"/>
        <family val="2"/>
        <scheme val="minor"/>
      </rPr>
      <t xml:space="preserve"> area.</t>
    </r>
  </si>
  <si>
    <r>
      <t xml:space="preserve">2. Drag </t>
    </r>
    <r>
      <rPr>
        <b/>
        <sz val="11"/>
        <color theme="1"/>
        <rFont val="Aptos Narrow"/>
        <family val="2"/>
        <scheme val="minor"/>
      </rPr>
      <t>Quantity</t>
    </r>
    <r>
      <rPr>
        <sz val="11"/>
        <color theme="1"/>
        <rFont val="Aptos Narrow"/>
        <family val="2"/>
        <scheme val="minor"/>
      </rPr>
      <t xml:space="preserve"> → </t>
    </r>
    <r>
      <rPr>
        <b/>
        <sz val="11"/>
        <color theme="1"/>
        <rFont val="Aptos Narrow"/>
        <family val="2"/>
        <scheme val="minor"/>
      </rPr>
      <t>Values</t>
    </r>
    <r>
      <rPr>
        <sz val="11"/>
        <color theme="1"/>
        <rFont val="Aptos Narrow"/>
        <family val="2"/>
        <scheme val="minor"/>
      </rPr>
      <t xml:space="preserve"> area (set to </t>
    </r>
    <r>
      <rPr>
        <b/>
        <sz val="11"/>
        <color theme="1"/>
        <rFont val="Aptos Narrow"/>
        <family val="2"/>
        <scheme val="minor"/>
      </rPr>
      <t>Sum</t>
    </r>
    <r>
      <rPr>
        <sz val="11"/>
        <color theme="1"/>
        <rFont val="Aptos Narrow"/>
        <family val="2"/>
        <scheme val="minor"/>
      </rPr>
      <t>).</t>
    </r>
  </si>
  <si>
    <r>
      <t xml:space="preserve">3. Drag </t>
    </r>
    <r>
      <rPr>
        <b/>
        <sz val="11"/>
        <color theme="1"/>
        <rFont val="Aptos Narrow"/>
        <family val="2"/>
        <scheme val="minor"/>
      </rPr>
      <t>Product Category</t>
    </r>
    <r>
      <rPr>
        <sz val="11"/>
        <color theme="1"/>
        <rFont val="Aptos Narrow"/>
        <family val="2"/>
        <scheme val="minor"/>
      </rPr>
      <t xml:space="preserve"> → </t>
    </r>
    <r>
      <rPr>
        <b/>
        <sz val="11"/>
        <color theme="1"/>
        <rFont val="Aptos Narrow"/>
        <family val="2"/>
        <scheme val="minor"/>
      </rPr>
      <t>Filters</t>
    </r>
    <r>
      <rPr>
        <sz val="11"/>
        <color theme="1"/>
        <rFont val="Aptos Narrow"/>
        <family val="2"/>
        <scheme val="minor"/>
      </rPr>
      <t xml:space="preserve"> area.</t>
    </r>
  </si>
  <si>
    <r>
      <t xml:space="preserve">4. In the filter, choose </t>
    </r>
    <r>
      <rPr>
        <b/>
        <sz val="11"/>
        <color theme="1"/>
        <rFont val="Aptos Narrow"/>
        <family val="2"/>
        <scheme val="minor"/>
      </rPr>
      <t>Electronics</t>
    </r>
    <r>
      <rPr>
        <sz val="11"/>
        <color theme="1"/>
        <rFont val="Aptos Narrow"/>
        <family val="2"/>
        <scheme val="minor"/>
      </rPr>
      <t xml:space="preserve"> so only electronics data is shown.</t>
    </r>
  </si>
  <si>
    <r>
      <t xml:space="preserve">5. Enable </t>
    </r>
    <r>
      <rPr>
        <b/>
        <sz val="11"/>
        <color theme="1"/>
        <rFont val="Aptos Narrow"/>
        <family val="2"/>
        <scheme val="minor"/>
      </rPr>
      <t>Grand Totals</t>
    </r>
    <r>
      <rPr>
        <sz val="11"/>
        <color theme="1"/>
        <rFont val="Aptos Narrow"/>
        <family val="2"/>
        <scheme val="minor"/>
      </rPr>
      <t>:</t>
    </r>
  </si>
  <si>
    <r>
      <t>PivotTable Analyze → Grand Totals → On for Rows and Columns</t>
    </r>
    <r>
      <rPr>
        <sz val="11"/>
        <color theme="1"/>
        <rFont val="Aptos Narrow"/>
        <family val="2"/>
        <scheme val="minor"/>
      </rPr>
      <t>.</t>
    </r>
  </si>
  <si>
    <t>4. Add a Pivot Chart</t>
  </si>
  <si>
    <t>1. Click inside the Pivot Table.</t>
  </si>
  <si>
    <r>
      <t xml:space="preserve">2. Go to </t>
    </r>
    <r>
      <rPr>
        <b/>
        <sz val="11"/>
        <color theme="1"/>
        <rFont val="Aptos Narrow"/>
        <family val="2"/>
        <scheme val="minor"/>
      </rPr>
      <t>Insert → PivotChart</t>
    </r>
    <r>
      <rPr>
        <sz val="11"/>
        <color theme="1"/>
        <rFont val="Aptos Narrow"/>
        <family val="2"/>
        <scheme val="minor"/>
      </rPr>
      <t>.</t>
    </r>
  </si>
  <si>
    <r>
      <t xml:space="preserve">3. Select a chart type (e.g., </t>
    </r>
    <r>
      <rPr>
        <b/>
        <sz val="11"/>
        <color theme="1"/>
        <rFont val="Aptos Narrow"/>
        <family val="2"/>
        <scheme val="minor"/>
      </rPr>
      <t>Clustered Column</t>
    </r>
    <r>
      <rPr>
        <sz val="11"/>
        <color theme="1"/>
        <rFont val="Aptos Narrow"/>
        <family val="2"/>
        <scheme val="minor"/>
      </rPr>
      <t>).</t>
    </r>
  </si>
  <si>
    <t>4. The chart will update dynamically with the Pivot Table data.</t>
  </si>
  <si>
    <t>5. Add a Timeline (Optional - for Date Filtering)</t>
  </si>
  <si>
    <r>
      <t xml:space="preserve">1. Ensure your dataset has a </t>
    </r>
    <r>
      <rPr>
        <b/>
        <sz val="11"/>
        <color theme="1"/>
        <rFont val="Aptos Narrow"/>
        <family val="2"/>
        <scheme val="minor"/>
      </rPr>
      <t>Date</t>
    </r>
    <r>
      <rPr>
        <sz val="11"/>
        <color theme="1"/>
        <rFont val="Aptos Narrow"/>
        <family val="2"/>
        <scheme val="minor"/>
      </rPr>
      <t xml:space="preserve"> column included in the Pivot Table fields.</t>
    </r>
  </si>
  <si>
    <t>2. Click inside the Pivot Table.</t>
  </si>
  <si>
    <r>
      <t xml:space="preserve">3. Go to </t>
    </r>
    <r>
      <rPr>
        <b/>
        <sz val="11"/>
        <color theme="1"/>
        <rFont val="Aptos Narrow"/>
        <family val="2"/>
        <scheme val="minor"/>
      </rPr>
      <t>PivotTable Analyze → Insert Timeline</t>
    </r>
    <r>
      <rPr>
        <sz val="11"/>
        <color theme="1"/>
        <rFont val="Aptos Narrow"/>
        <family val="2"/>
        <scheme val="minor"/>
      </rPr>
      <t>.</t>
    </r>
  </si>
  <si>
    <r>
      <t xml:space="preserve">4. Select your date field (e.g., </t>
    </r>
    <r>
      <rPr>
        <i/>
        <sz val="11"/>
        <color theme="1"/>
        <rFont val="Aptos Narrow"/>
        <family val="2"/>
        <scheme val="minor"/>
      </rPr>
      <t>Sale Date</t>
    </r>
    <r>
      <rPr>
        <sz val="11"/>
        <color theme="1"/>
        <rFont val="Aptos Narrow"/>
        <family val="2"/>
        <scheme val="minor"/>
      </rPr>
      <t xml:space="preserve">) → Click </t>
    </r>
    <r>
      <rPr>
        <b/>
        <sz val="11"/>
        <color theme="1"/>
        <rFont val="Aptos Narrow"/>
        <family val="2"/>
        <scheme val="minor"/>
      </rPr>
      <t>OK</t>
    </r>
    <r>
      <rPr>
        <sz val="11"/>
        <color theme="1"/>
        <rFont val="Aptos Narrow"/>
        <family val="2"/>
        <scheme val="minor"/>
      </rPr>
      <t>.</t>
    </r>
  </si>
  <si>
    <t>5. Use the Timeline to filter sales data by Month, Quarter, or Year.</t>
  </si>
  <si>
    <r>
      <t xml:space="preserve">✅ </t>
    </r>
    <r>
      <rPr>
        <b/>
        <sz val="11"/>
        <color theme="1"/>
        <rFont val="Aptos Narrow"/>
        <family val="2"/>
        <scheme val="minor"/>
      </rPr>
      <t>Key Point</t>
    </r>
    <r>
      <rPr>
        <sz val="11"/>
        <color theme="1"/>
        <rFont val="Aptos Narrow"/>
        <family val="2"/>
        <scheme val="minor"/>
      </rPr>
      <t>:</t>
    </r>
  </si>
  <si>
    <t>The Timeline will only work if your Pivot Table contains a valid Date field.</t>
  </si>
  <si>
    <t>Both the Pivot Table and Pivot Chart will update instantly when you adjust the Timeline.</t>
  </si>
  <si>
    <t>State-wise Furniture Sales &amp; Pivot Chart using Pivot Table</t>
  </si>
  <si>
    <t>Make sure your dataset includes:</t>
  </si>
  <si>
    <r>
      <t>Sale Date</t>
    </r>
    <r>
      <rPr>
        <sz val="11"/>
        <color theme="1"/>
        <rFont val="Aptos Narrow"/>
        <family val="2"/>
        <scheme val="minor"/>
      </rPr>
      <t xml:space="preserve"> (needed for Timeline feature)</t>
    </r>
  </si>
  <si>
    <r>
      <t xml:space="preserve">3. Choose whether to place it in a </t>
    </r>
    <r>
      <rPr>
        <b/>
        <sz val="11"/>
        <color theme="1"/>
        <rFont val="Aptos Narrow"/>
        <family val="2"/>
        <scheme val="minor"/>
      </rPr>
      <t>New Worksheet</t>
    </r>
    <r>
      <rPr>
        <sz val="11"/>
        <color theme="1"/>
        <rFont val="Aptos Narrow"/>
        <family val="2"/>
        <scheme val="minor"/>
      </rPr>
      <t xml:space="preserve"> or </t>
    </r>
    <r>
      <rPr>
        <b/>
        <sz val="11"/>
        <color theme="1"/>
        <rFont val="Aptos Narrow"/>
        <family val="2"/>
        <scheme val="minor"/>
      </rPr>
      <t>Existing Worksheet</t>
    </r>
    <r>
      <rPr>
        <sz val="11"/>
        <color theme="1"/>
        <rFont val="Aptos Narrow"/>
        <family val="2"/>
        <scheme val="minor"/>
      </rPr>
      <t>.</t>
    </r>
  </si>
  <si>
    <r>
      <t xml:space="preserve">4. In the filter, choose </t>
    </r>
    <r>
      <rPr>
        <b/>
        <sz val="11"/>
        <color theme="1"/>
        <rFont val="Aptos Narrow"/>
        <family val="2"/>
        <scheme val="minor"/>
      </rPr>
      <t>Furniture</t>
    </r>
    <r>
      <rPr>
        <sz val="11"/>
        <color theme="1"/>
        <rFont val="Aptos Narrow"/>
        <family val="2"/>
        <scheme val="minor"/>
      </rPr>
      <t xml:space="preserve"> so only furniture sales are displayed.</t>
    </r>
  </si>
  <si>
    <t>1. Click anywhere in the Pivot Table.</t>
  </si>
  <si>
    <r>
      <t xml:space="preserve">3. Select a chart type (e.g., </t>
    </r>
    <r>
      <rPr>
        <b/>
        <sz val="11"/>
        <color theme="1"/>
        <rFont val="Aptos Narrow"/>
        <family val="2"/>
        <scheme val="minor"/>
      </rPr>
      <t>Clustered Column</t>
    </r>
    <r>
      <rPr>
        <sz val="11"/>
        <color theme="1"/>
        <rFont val="Aptos Narrow"/>
        <family val="2"/>
        <scheme val="minor"/>
      </rPr>
      <t xml:space="preserve"> or </t>
    </r>
    <r>
      <rPr>
        <b/>
        <sz val="11"/>
        <color theme="1"/>
        <rFont val="Aptos Narrow"/>
        <family val="2"/>
        <scheme val="minor"/>
      </rPr>
      <t>Bar Chart</t>
    </r>
    <r>
      <rPr>
        <sz val="11"/>
        <color theme="1"/>
        <rFont val="Aptos Narrow"/>
        <family val="2"/>
        <scheme val="minor"/>
      </rPr>
      <t>).</t>
    </r>
  </si>
  <si>
    <t>4. The chart will be linked to your Pivot Table and update automatically when the table changes.</t>
  </si>
  <si>
    <t>5. Add a Timeline (Optional for Date Filtering)</t>
  </si>
  <si>
    <r>
      <t xml:space="preserve">1. Ensure your dataset has a </t>
    </r>
    <r>
      <rPr>
        <b/>
        <sz val="11"/>
        <color theme="1"/>
        <rFont val="Aptos Narrow"/>
        <family val="2"/>
        <scheme val="minor"/>
      </rPr>
      <t>Sale Date</t>
    </r>
    <r>
      <rPr>
        <sz val="11"/>
        <color theme="1"/>
        <rFont val="Aptos Narrow"/>
        <family val="2"/>
        <scheme val="minor"/>
      </rPr>
      <t xml:space="preserve"> column added to the Pivot Table fields.</t>
    </r>
  </si>
  <si>
    <r>
      <t xml:space="preserve">4. Tick the </t>
    </r>
    <r>
      <rPr>
        <b/>
        <sz val="11"/>
        <color theme="1"/>
        <rFont val="Aptos Narrow"/>
        <family val="2"/>
        <scheme val="minor"/>
      </rPr>
      <t>Sale Date</t>
    </r>
    <r>
      <rPr>
        <sz val="11"/>
        <color theme="1"/>
        <rFont val="Aptos Narrow"/>
        <family val="2"/>
        <scheme val="minor"/>
      </rPr>
      <t xml:space="preserve"> field → Click </t>
    </r>
    <r>
      <rPr>
        <b/>
        <sz val="11"/>
        <color theme="1"/>
        <rFont val="Aptos Narrow"/>
        <family val="2"/>
        <scheme val="minor"/>
      </rPr>
      <t>OK</t>
    </r>
    <r>
      <rPr>
        <sz val="11"/>
        <color theme="1"/>
        <rFont val="Aptos Narrow"/>
        <family val="2"/>
        <scheme val="minor"/>
      </rPr>
      <t>.</t>
    </r>
  </si>
  <si>
    <r>
      <t xml:space="preserve">5. Use the Timeline to filter sales by </t>
    </r>
    <r>
      <rPr>
        <b/>
        <sz val="11"/>
        <color theme="1"/>
        <rFont val="Aptos Narrow"/>
        <family val="2"/>
        <scheme val="minor"/>
      </rPr>
      <t>Months</t>
    </r>
    <r>
      <rPr>
        <sz val="11"/>
        <color theme="1"/>
        <rFont val="Aptos Narrow"/>
        <family val="2"/>
        <scheme val="minor"/>
      </rPr>
      <t xml:space="preserve">, </t>
    </r>
    <r>
      <rPr>
        <b/>
        <sz val="11"/>
        <color theme="1"/>
        <rFont val="Aptos Narrow"/>
        <family val="2"/>
        <scheme val="minor"/>
      </rPr>
      <t>Quarters</t>
    </r>
    <r>
      <rPr>
        <sz val="11"/>
        <color theme="1"/>
        <rFont val="Aptos Narrow"/>
        <family val="2"/>
        <scheme val="minor"/>
      </rPr>
      <t xml:space="preserve">, or </t>
    </r>
    <r>
      <rPr>
        <b/>
        <sz val="11"/>
        <color theme="1"/>
        <rFont val="Aptos Narrow"/>
        <family val="2"/>
        <scheme val="minor"/>
      </rPr>
      <t>Years</t>
    </r>
    <r>
      <rPr>
        <sz val="11"/>
        <color theme="1"/>
        <rFont val="Aptos Narrow"/>
        <family val="2"/>
        <scheme val="minor"/>
      </rPr>
      <t>.</t>
    </r>
  </si>
  <si>
    <r>
      <t xml:space="preserve">✅ </t>
    </r>
    <r>
      <rPr>
        <b/>
        <sz val="11"/>
        <color theme="1"/>
        <rFont val="Aptos Narrow"/>
        <family val="2"/>
        <scheme val="minor"/>
      </rPr>
      <t>Key Notes</t>
    </r>
    <r>
      <rPr>
        <sz val="11"/>
        <color theme="1"/>
        <rFont val="Aptos Narrow"/>
        <family val="2"/>
        <scheme val="minor"/>
      </rPr>
      <t>:</t>
    </r>
  </si>
  <si>
    <r>
      <t xml:space="preserve">The Timeline option will appear </t>
    </r>
    <r>
      <rPr>
        <b/>
        <sz val="11"/>
        <color theme="1"/>
        <rFont val="Aptos Narrow"/>
        <family val="2"/>
        <scheme val="minor"/>
      </rPr>
      <t>only</t>
    </r>
    <r>
      <rPr>
        <sz val="11"/>
        <color theme="1"/>
        <rFont val="Aptos Narrow"/>
        <family val="2"/>
        <scheme val="minor"/>
      </rPr>
      <t xml:space="preserve"> if your Pivot Table contains a valid Date field.</t>
    </r>
  </si>
  <si>
    <t>Both the Pivot Table and Pivot Chart will update instantly when you use the Timeline filter.</t>
  </si>
  <si>
    <t>State-wise Groceries Sales &amp; Pivot Chart using Pivot Table</t>
  </si>
  <si>
    <t>Ensure your dataset contains:</t>
  </si>
  <si>
    <r>
      <t xml:space="preserve">3. Choose </t>
    </r>
    <r>
      <rPr>
        <b/>
        <sz val="11"/>
        <color theme="1"/>
        <rFont val="Aptos Narrow"/>
        <family val="2"/>
        <scheme val="minor"/>
      </rPr>
      <t>New Worksheet</t>
    </r>
    <r>
      <rPr>
        <sz val="11"/>
        <color theme="1"/>
        <rFont val="Aptos Narrow"/>
        <family val="2"/>
        <scheme val="minor"/>
      </rPr>
      <t xml:space="preserve"> or </t>
    </r>
    <r>
      <rPr>
        <b/>
        <sz val="11"/>
        <color theme="1"/>
        <rFont val="Aptos Narrow"/>
        <family val="2"/>
        <scheme val="minor"/>
      </rPr>
      <t>Existing Worksheet</t>
    </r>
    <r>
      <rPr>
        <sz val="11"/>
        <color theme="1"/>
        <rFont val="Aptos Narrow"/>
        <family val="2"/>
        <scheme val="minor"/>
      </rPr>
      <t xml:space="preserve"> for placement.</t>
    </r>
  </si>
  <si>
    <r>
      <t xml:space="preserve">4. In the filter, choose </t>
    </r>
    <r>
      <rPr>
        <b/>
        <sz val="11"/>
        <color theme="1"/>
        <rFont val="Aptos Narrow"/>
        <family val="2"/>
        <scheme val="minor"/>
      </rPr>
      <t>Groceries</t>
    </r>
    <r>
      <rPr>
        <sz val="11"/>
        <color theme="1"/>
        <rFont val="Aptos Narrow"/>
        <family val="2"/>
        <scheme val="minor"/>
      </rPr>
      <t xml:space="preserve"> so only groceries sales are displayed.</t>
    </r>
  </si>
  <si>
    <r>
      <t xml:space="preserve">5. Turn on </t>
    </r>
    <r>
      <rPr>
        <b/>
        <sz val="11"/>
        <color theme="1"/>
        <rFont val="Aptos Narrow"/>
        <family val="2"/>
        <scheme val="minor"/>
      </rPr>
      <t>Grand Totals</t>
    </r>
    <r>
      <rPr>
        <sz val="11"/>
        <color theme="1"/>
        <rFont val="Aptos Narrow"/>
        <family val="2"/>
        <scheme val="minor"/>
      </rPr>
      <t>:</t>
    </r>
  </si>
  <si>
    <r>
      <t xml:space="preserve">3. Choose your chart type (e.g., </t>
    </r>
    <r>
      <rPr>
        <b/>
        <sz val="11"/>
        <color theme="1"/>
        <rFont val="Aptos Narrow"/>
        <family val="2"/>
        <scheme val="minor"/>
      </rPr>
      <t>Clustered Column</t>
    </r>
    <r>
      <rPr>
        <sz val="11"/>
        <color theme="1"/>
        <rFont val="Aptos Narrow"/>
        <family val="2"/>
        <scheme val="minor"/>
      </rPr>
      <t>).</t>
    </r>
  </si>
  <si>
    <t>4. The chart will stay linked to your Pivot Table and auto-update when data changes.</t>
  </si>
  <si>
    <r>
      <t xml:space="preserve">1. Make sure your Pivot Table contains a </t>
    </r>
    <r>
      <rPr>
        <b/>
        <sz val="11"/>
        <color theme="1"/>
        <rFont val="Aptos Narrow"/>
        <family val="2"/>
        <scheme val="minor"/>
      </rPr>
      <t>Sale Date</t>
    </r>
    <r>
      <rPr>
        <sz val="11"/>
        <color theme="1"/>
        <rFont val="Aptos Narrow"/>
        <family val="2"/>
        <scheme val="minor"/>
      </rPr>
      <t xml:space="preserve"> field.</t>
    </r>
  </si>
  <si>
    <r>
      <t xml:space="preserve">4. Select the </t>
    </r>
    <r>
      <rPr>
        <b/>
        <sz val="11"/>
        <color theme="1"/>
        <rFont val="Aptos Narrow"/>
        <family val="2"/>
        <scheme val="minor"/>
      </rPr>
      <t>Sale Date</t>
    </r>
    <r>
      <rPr>
        <sz val="11"/>
        <color theme="1"/>
        <rFont val="Aptos Narrow"/>
        <family val="2"/>
        <scheme val="minor"/>
      </rPr>
      <t xml:space="preserve"> field → Click </t>
    </r>
    <r>
      <rPr>
        <b/>
        <sz val="11"/>
        <color theme="1"/>
        <rFont val="Aptos Narrow"/>
        <family val="2"/>
        <scheme val="minor"/>
      </rPr>
      <t>OK</t>
    </r>
    <r>
      <rPr>
        <sz val="11"/>
        <color theme="1"/>
        <rFont val="Aptos Narrow"/>
        <family val="2"/>
        <scheme val="minor"/>
      </rPr>
      <t>.</t>
    </r>
  </si>
  <si>
    <r>
      <t xml:space="preserve">5. Use the Timeline to filter sales by </t>
    </r>
    <r>
      <rPr>
        <b/>
        <sz val="11"/>
        <color theme="1"/>
        <rFont val="Aptos Narrow"/>
        <family val="2"/>
        <scheme val="minor"/>
      </rPr>
      <t>Month</t>
    </r>
    <r>
      <rPr>
        <sz val="11"/>
        <color theme="1"/>
        <rFont val="Aptos Narrow"/>
        <family val="2"/>
        <scheme val="minor"/>
      </rPr>
      <t xml:space="preserve">, </t>
    </r>
    <r>
      <rPr>
        <b/>
        <sz val="11"/>
        <color theme="1"/>
        <rFont val="Aptos Narrow"/>
        <family val="2"/>
        <scheme val="minor"/>
      </rPr>
      <t>Quarter</t>
    </r>
    <r>
      <rPr>
        <sz val="11"/>
        <color theme="1"/>
        <rFont val="Aptos Narrow"/>
        <family val="2"/>
        <scheme val="minor"/>
      </rPr>
      <t xml:space="preserve">, or </t>
    </r>
    <r>
      <rPr>
        <b/>
        <sz val="11"/>
        <color theme="1"/>
        <rFont val="Aptos Narrow"/>
        <family val="2"/>
        <scheme val="minor"/>
      </rPr>
      <t>Year</t>
    </r>
    <r>
      <rPr>
        <sz val="11"/>
        <color theme="1"/>
        <rFont val="Aptos Narrow"/>
        <family val="2"/>
        <scheme val="minor"/>
      </rPr>
      <t>.</t>
    </r>
  </si>
  <si>
    <r>
      <t>Timeline</t>
    </r>
    <r>
      <rPr>
        <sz val="11"/>
        <color theme="1"/>
        <rFont val="Aptos Narrow"/>
        <family val="2"/>
        <scheme val="minor"/>
      </rPr>
      <t xml:space="preserve"> only works if there’s a Date field in your Pivot Table.</t>
    </r>
  </si>
  <si>
    <t>Both the Pivot Table and Pivot Chart update instantly when you use Timeline filters.</t>
  </si>
  <si>
    <t>State-wise Stationery Sales &amp; Pivot Chart using Pivot Table</t>
  </si>
  <si>
    <r>
      <t>Sale Date</t>
    </r>
    <r>
      <rPr>
        <sz val="11"/>
        <color theme="1"/>
        <rFont val="Aptos Narrow"/>
        <family val="2"/>
        <scheme val="minor"/>
      </rPr>
      <t xml:space="preserve"> (required for Timeline feature)</t>
    </r>
  </si>
  <si>
    <r>
      <t xml:space="preserve">3. Choose to place the Pivot Table in a </t>
    </r>
    <r>
      <rPr>
        <b/>
        <sz val="11"/>
        <color theme="1"/>
        <rFont val="Aptos Narrow"/>
        <family val="2"/>
        <scheme val="minor"/>
      </rPr>
      <t>New Worksheet</t>
    </r>
    <r>
      <rPr>
        <sz val="11"/>
        <color theme="1"/>
        <rFont val="Aptos Narrow"/>
        <family val="2"/>
        <scheme val="minor"/>
      </rPr>
      <t xml:space="preserve"> or </t>
    </r>
    <r>
      <rPr>
        <b/>
        <sz val="11"/>
        <color theme="1"/>
        <rFont val="Aptos Narrow"/>
        <family val="2"/>
        <scheme val="minor"/>
      </rPr>
      <t>Existing Worksheet</t>
    </r>
    <r>
      <rPr>
        <sz val="11"/>
        <color theme="1"/>
        <rFont val="Aptos Narrow"/>
        <family val="2"/>
        <scheme val="minor"/>
      </rPr>
      <t>.</t>
    </r>
  </si>
  <si>
    <r>
      <t xml:space="preserve">4. In the filter, select </t>
    </r>
    <r>
      <rPr>
        <b/>
        <sz val="11"/>
        <color theme="1"/>
        <rFont val="Aptos Narrow"/>
        <family val="2"/>
        <scheme val="minor"/>
      </rPr>
      <t>Stationery</t>
    </r>
    <r>
      <rPr>
        <sz val="11"/>
        <color theme="1"/>
        <rFont val="Aptos Narrow"/>
        <family val="2"/>
        <scheme val="minor"/>
      </rPr>
      <t xml:space="preserve"> so only stationery sales are displayed.</t>
    </r>
  </si>
  <si>
    <t>1. Click anywhere inside the Pivot Table.</t>
  </si>
  <si>
    <r>
      <t xml:space="preserve">3. Choose your preferred chart type (e.g., </t>
    </r>
    <r>
      <rPr>
        <b/>
        <sz val="11"/>
        <color theme="1"/>
        <rFont val="Aptos Narrow"/>
        <family val="2"/>
        <scheme val="minor"/>
      </rPr>
      <t>Clustered Column</t>
    </r>
    <r>
      <rPr>
        <sz val="11"/>
        <color theme="1"/>
        <rFont val="Aptos Narrow"/>
        <family val="2"/>
        <scheme val="minor"/>
      </rPr>
      <t>).</t>
    </r>
  </si>
  <si>
    <t>4. The chart will dynamically update whenever the Pivot Table changes.</t>
  </si>
  <si>
    <r>
      <t xml:space="preserve">1. Ensure your Pivot Table contains a </t>
    </r>
    <r>
      <rPr>
        <b/>
        <sz val="11"/>
        <color theme="1"/>
        <rFont val="Aptos Narrow"/>
        <family val="2"/>
        <scheme val="minor"/>
      </rPr>
      <t>Sale Date</t>
    </r>
    <r>
      <rPr>
        <sz val="11"/>
        <color theme="1"/>
        <rFont val="Aptos Narrow"/>
        <family val="2"/>
        <scheme val="minor"/>
      </rPr>
      <t xml:space="preserve"> field.</t>
    </r>
  </si>
  <si>
    <t>2. Click anywhere in the Pivot Table.</t>
  </si>
  <si>
    <r>
      <t xml:space="preserve">4. Tick the </t>
    </r>
    <r>
      <rPr>
        <b/>
        <sz val="11"/>
        <color theme="1"/>
        <rFont val="Aptos Narrow"/>
        <family val="2"/>
        <scheme val="minor"/>
      </rPr>
      <t>Sale Date</t>
    </r>
    <r>
      <rPr>
        <sz val="11"/>
        <color theme="1"/>
        <rFont val="Aptos Narrow"/>
        <family val="2"/>
        <scheme val="minor"/>
      </rPr>
      <t xml:space="preserve"> checkbox → Click </t>
    </r>
    <r>
      <rPr>
        <b/>
        <sz val="11"/>
        <color theme="1"/>
        <rFont val="Aptos Narrow"/>
        <family val="2"/>
        <scheme val="minor"/>
      </rPr>
      <t>OK</t>
    </r>
    <r>
      <rPr>
        <sz val="11"/>
        <color theme="1"/>
        <rFont val="Aptos Narrow"/>
        <family val="2"/>
        <scheme val="minor"/>
      </rPr>
      <t>.</t>
    </r>
  </si>
  <si>
    <r>
      <t xml:space="preserve">5. Use the Timeline control to filter sales by </t>
    </r>
    <r>
      <rPr>
        <b/>
        <sz val="11"/>
        <color theme="1"/>
        <rFont val="Aptos Narrow"/>
        <family val="2"/>
        <scheme val="minor"/>
      </rPr>
      <t>Month</t>
    </r>
    <r>
      <rPr>
        <sz val="11"/>
        <color theme="1"/>
        <rFont val="Aptos Narrow"/>
        <family val="2"/>
        <scheme val="minor"/>
      </rPr>
      <t xml:space="preserve">, </t>
    </r>
    <r>
      <rPr>
        <b/>
        <sz val="11"/>
        <color theme="1"/>
        <rFont val="Aptos Narrow"/>
        <family val="2"/>
        <scheme val="minor"/>
      </rPr>
      <t>Quarter</t>
    </r>
    <r>
      <rPr>
        <sz val="11"/>
        <color theme="1"/>
        <rFont val="Aptos Narrow"/>
        <family val="2"/>
        <scheme val="minor"/>
      </rPr>
      <t xml:space="preserve">, or </t>
    </r>
    <r>
      <rPr>
        <b/>
        <sz val="11"/>
        <color theme="1"/>
        <rFont val="Aptos Narrow"/>
        <family val="2"/>
        <scheme val="minor"/>
      </rPr>
      <t>Year</t>
    </r>
    <r>
      <rPr>
        <sz val="11"/>
        <color theme="1"/>
        <rFont val="Aptos Narrow"/>
        <family val="2"/>
        <scheme val="minor"/>
      </rPr>
      <t>.</t>
    </r>
  </si>
  <si>
    <r>
      <t>Timeline</t>
    </r>
    <r>
      <rPr>
        <sz val="11"/>
        <color theme="1"/>
        <rFont val="Aptos Narrow"/>
        <family val="2"/>
        <scheme val="minor"/>
      </rPr>
      <t xml:space="preserve"> is available only when your Pivot Table has a valid Date field.</t>
    </r>
  </si>
  <si>
    <t>Short Notes — Slicer (State) use karke Pivot Table/Chart ko filter kaise karein</t>
  </si>
  <si>
    <t>1. Pivot Table banayein</t>
  </si>
  <si>
    <r>
      <t xml:space="preserve">Data select → </t>
    </r>
    <r>
      <rPr>
        <b/>
        <sz val="11"/>
        <color theme="1"/>
        <rFont val="Aptos Narrow"/>
        <family val="2"/>
        <scheme val="minor"/>
      </rPr>
      <t>Insert → PivotTable</t>
    </r>
    <r>
      <rPr>
        <sz val="11"/>
        <color theme="1"/>
        <rFont val="Aptos Narrow"/>
        <family val="2"/>
        <scheme val="minor"/>
      </rPr>
      <t>.</t>
    </r>
  </si>
  <si>
    <r>
      <t xml:space="preserve">Fields set karein (jaise </t>
    </r>
    <r>
      <rPr>
        <i/>
        <sz val="11"/>
        <color theme="1"/>
        <rFont val="Aptos Narrow"/>
        <family val="2"/>
        <scheme val="minor"/>
      </rPr>
      <t>State</t>
    </r>
    <r>
      <rPr>
        <sz val="11"/>
        <color theme="1"/>
        <rFont val="Aptos Narrow"/>
        <family val="2"/>
        <scheme val="minor"/>
      </rPr>
      <t xml:space="preserve"> Rows me, </t>
    </r>
    <r>
      <rPr>
        <i/>
        <sz val="11"/>
        <color theme="1"/>
        <rFont val="Aptos Narrow"/>
        <family val="2"/>
        <scheme val="minor"/>
      </rPr>
      <t>Region</t>
    </r>
    <r>
      <rPr>
        <sz val="11"/>
        <color theme="1"/>
        <rFont val="Aptos Narrow"/>
        <family val="2"/>
        <scheme val="minor"/>
      </rPr>
      <t xml:space="preserve"> Columns me, </t>
    </r>
    <r>
      <rPr>
        <i/>
        <sz val="11"/>
        <color theme="1"/>
        <rFont val="Aptos Narrow"/>
        <family val="2"/>
        <scheme val="minor"/>
      </rPr>
      <t>Quantity</t>
    </r>
    <r>
      <rPr>
        <sz val="11"/>
        <color theme="1"/>
        <rFont val="Aptos Narrow"/>
        <family val="2"/>
        <scheme val="minor"/>
      </rPr>
      <t xml:space="preserve"> Values me).</t>
    </r>
  </si>
  <si>
    <r>
      <t>2. Pivot Chart add karein</t>
    </r>
    <r>
      <rPr>
        <sz val="11"/>
        <color theme="1"/>
        <rFont val="Aptos Narrow"/>
        <family val="2"/>
        <scheme val="minor"/>
      </rPr>
      <t xml:space="preserve"> </t>
    </r>
    <r>
      <rPr>
        <i/>
        <sz val="11"/>
        <color theme="1"/>
        <rFont val="Aptos Narrow"/>
        <family val="2"/>
        <scheme val="minor"/>
      </rPr>
      <t>(optional but recommended)</t>
    </r>
  </si>
  <si>
    <r>
      <t xml:space="preserve">Pivot ke andar click → </t>
    </r>
    <r>
      <rPr>
        <b/>
        <sz val="11"/>
        <color theme="1"/>
        <rFont val="Aptos Narrow"/>
        <family val="2"/>
        <scheme val="minor"/>
      </rPr>
      <t>Insert → PivotChart</t>
    </r>
    <r>
      <rPr>
        <sz val="11"/>
        <color theme="1"/>
        <rFont val="Aptos Narrow"/>
        <family val="2"/>
        <scheme val="minor"/>
      </rPr>
      <t xml:space="preserve"> → chart type choose karein.</t>
    </r>
  </si>
  <si>
    <t>Chart pivot se auto-linked rahega.</t>
  </si>
  <si>
    <t>3. Slicer insert karein (State ke liye)</t>
  </si>
  <si>
    <r>
      <t xml:space="preserve">Pivot table ke andar click → </t>
    </r>
    <r>
      <rPr>
        <b/>
        <sz val="11"/>
        <color theme="1"/>
        <rFont val="Aptos Narrow"/>
        <family val="2"/>
        <scheme val="minor"/>
      </rPr>
      <t>PivotTable Analyze → Insert Slicer</t>
    </r>
    <r>
      <rPr>
        <sz val="11"/>
        <color theme="1"/>
        <rFont val="Aptos Narrow"/>
        <family val="2"/>
        <scheme val="minor"/>
      </rPr>
      <t>.</t>
    </r>
  </si>
  <si>
    <r>
      <t>State</t>
    </r>
    <r>
      <rPr>
        <sz val="11"/>
        <color theme="1"/>
        <rFont val="Aptos Narrow"/>
        <family val="2"/>
        <scheme val="minor"/>
      </rPr>
      <t xml:space="preserve"> (aur chahein to Product Category, Region, etc.) tick karke </t>
    </r>
    <r>
      <rPr>
        <b/>
        <sz val="11"/>
        <color theme="1"/>
        <rFont val="Aptos Narrow"/>
        <family val="2"/>
        <scheme val="minor"/>
      </rPr>
      <t>OK</t>
    </r>
    <r>
      <rPr>
        <sz val="11"/>
        <color theme="1"/>
        <rFont val="Aptos Narrow"/>
        <family val="2"/>
        <scheme val="minor"/>
      </rPr>
      <t>.</t>
    </r>
  </si>
  <si>
    <t>4. Slicer ko Pivot(s)/Chart(s) se connect rakhein</t>
  </si>
  <si>
    <r>
      <t xml:space="preserve">Slicer par right-click → </t>
    </r>
    <r>
      <rPr>
        <b/>
        <sz val="11"/>
        <color theme="1"/>
        <rFont val="Aptos Narrow"/>
        <family val="2"/>
        <scheme val="minor"/>
      </rPr>
      <t>Report Connections… / PivotTable Connections…</t>
    </r>
    <r>
      <rPr>
        <sz val="11"/>
        <color theme="1"/>
        <rFont val="Aptos Narrow"/>
        <family val="2"/>
        <scheme val="minor"/>
      </rPr>
      <t xml:space="preserve"> →</t>
    </r>
  </si>
  <si>
    <r>
      <t xml:space="preserve">jis-jis Pivot ko control karna hai unhe </t>
    </r>
    <r>
      <rPr>
        <b/>
        <sz val="11"/>
        <color theme="1"/>
        <rFont val="Aptos Narrow"/>
        <family val="2"/>
        <scheme val="minor"/>
      </rPr>
      <t>tick</t>
    </r>
    <r>
      <rPr>
        <sz val="11"/>
        <color theme="1"/>
        <rFont val="Aptos Narrow"/>
        <family val="2"/>
        <scheme val="minor"/>
      </rPr>
      <t xml:space="preserve"> karein → </t>
    </r>
    <r>
      <rPr>
        <b/>
        <sz val="11"/>
        <color theme="1"/>
        <rFont val="Aptos Narrow"/>
        <family val="2"/>
        <scheme val="minor"/>
      </rPr>
      <t>OK</t>
    </r>
    <r>
      <rPr>
        <sz val="11"/>
        <color theme="1"/>
        <rFont val="Aptos Narrow"/>
        <family val="2"/>
        <scheme val="minor"/>
      </rPr>
      <t>.</t>
    </r>
  </si>
  <si>
    <t>(Note: Pivot Chart apne linked Pivot ke saath hi filter ho jayega.)</t>
  </si>
  <si>
    <t>5. Slicer use karna</t>
  </si>
  <si>
    <r>
      <t>Single select:</t>
    </r>
    <r>
      <rPr>
        <sz val="11"/>
        <color theme="1"/>
        <rFont val="Aptos Narrow"/>
        <family val="2"/>
        <scheme val="minor"/>
      </rPr>
      <t xml:space="preserve"> kisi ek State button par click.</t>
    </r>
  </si>
  <si>
    <r>
      <t>Multi-select:</t>
    </r>
    <r>
      <rPr>
        <sz val="11"/>
        <color theme="1"/>
        <rFont val="Aptos Narrow"/>
        <family val="2"/>
        <scheme val="minor"/>
      </rPr>
      <t xml:space="preserve"> Slicer header me multi-select icon on karein </t>
    </r>
    <r>
      <rPr>
        <i/>
        <sz val="11"/>
        <color theme="1"/>
        <rFont val="Aptos Narrow"/>
        <family val="2"/>
        <scheme val="minor"/>
      </rPr>
      <t>ya</t>
    </r>
    <r>
      <rPr>
        <sz val="11"/>
        <color theme="1"/>
        <rFont val="Aptos Narrow"/>
        <family val="2"/>
        <scheme val="minor"/>
      </rPr>
      <t xml:space="preserve"> Ctrl daba kar multiple buttons click.</t>
    </r>
  </si>
  <si>
    <r>
      <t>Clear filter:</t>
    </r>
    <r>
      <rPr>
        <sz val="11"/>
        <color theme="1"/>
        <rFont val="Aptos Narrow"/>
        <family val="2"/>
        <scheme val="minor"/>
      </rPr>
      <t xml:space="preserve"> Slicer header ka </t>
    </r>
    <r>
      <rPr>
        <b/>
        <sz val="11"/>
        <color theme="1"/>
        <rFont val="Aptos Narrow"/>
        <family val="2"/>
        <scheme val="minor"/>
      </rPr>
      <t>filter with red X</t>
    </r>
    <r>
      <rPr>
        <sz val="11"/>
        <color theme="1"/>
        <rFont val="Aptos Narrow"/>
        <family val="2"/>
        <scheme val="minor"/>
      </rPr>
      <t xml:space="preserve"> icon press karein.</t>
    </r>
  </si>
  <si>
    <t>6. Formatting &amp; settings (optional)</t>
  </si>
  <si>
    <r>
      <t xml:space="preserve">Slicer select → </t>
    </r>
    <r>
      <rPr>
        <b/>
        <sz val="11"/>
        <color theme="1"/>
        <rFont val="Aptos Narrow"/>
        <family val="2"/>
        <scheme val="minor"/>
      </rPr>
      <t>Slicer (Options) tab</t>
    </r>
    <r>
      <rPr>
        <sz val="11"/>
        <color theme="1"/>
        <rFont val="Aptos Narrow"/>
        <family val="2"/>
        <scheme val="minor"/>
      </rPr>
      <t>:</t>
    </r>
  </si>
  <si>
    <r>
      <t>Columns</t>
    </r>
    <r>
      <rPr>
        <sz val="11"/>
        <color theme="1"/>
        <rFont val="Aptos Narrow"/>
        <family val="2"/>
        <scheme val="minor"/>
      </rPr>
      <t xml:space="preserve"> badha kar ek row me multiple buttons dikhayein.</t>
    </r>
  </si>
  <si>
    <r>
      <t>Button height/width</t>
    </r>
    <r>
      <rPr>
        <sz val="11"/>
        <color theme="1"/>
        <rFont val="Aptos Narrow"/>
        <family val="2"/>
        <scheme val="minor"/>
      </rPr>
      <t xml:space="preserve"> adjust karein.</t>
    </r>
  </si>
  <si>
    <r>
      <t>Slicer Styles</t>
    </r>
    <r>
      <rPr>
        <sz val="11"/>
        <color theme="1"/>
        <rFont val="Aptos Narrow"/>
        <family val="2"/>
        <scheme val="minor"/>
      </rPr>
      <t xml:space="preserve"> se design change karein.</t>
    </r>
  </si>
  <si>
    <r>
      <t xml:space="preserve">Right-click Slicer → </t>
    </r>
    <r>
      <rPr>
        <b/>
        <sz val="11"/>
        <color theme="1"/>
        <rFont val="Aptos Narrow"/>
        <family val="2"/>
        <scheme val="minor"/>
      </rPr>
      <t>Slicer Settings</t>
    </r>
    <r>
      <rPr>
        <sz val="11"/>
        <color theme="1"/>
        <rFont val="Aptos Narrow"/>
        <family val="2"/>
        <scheme val="minor"/>
      </rPr>
      <t>:</t>
    </r>
  </si>
  <si>
    <r>
      <t>Display header</t>
    </r>
    <r>
      <rPr>
        <sz val="11"/>
        <color theme="1"/>
        <rFont val="Aptos Narrow"/>
        <family val="2"/>
        <scheme val="minor"/>
      </rPr>
      <t xml:space="preserve"> rename karein (e.g., “State”).</t>
    </r>
  </si>
  <si>
    <r>
      <t>Hide items with no data</t>
    </r>
    <r>
      <rPr>
        <sz val="11"/>
        <color theme="1"/>
        <rFont val="Aptos Narrow"/>
        <family val="2"/>
        <scheme val="minor"/>
      </rPr>
      <t xml:space="preserve"> on/off.</t>
    </r>
  </si>
  <si>
    <t>7. Difference note:</t>
  </si>
  <si>
    <r>
      <t>Slicer</t>
    </r>
    <r>
      <rPr>
        <sz val="11"/>
        <color theme="1"/>
        <rFont val="Aptos Narrow"/>
        <family val="2"/>
        <scheme val="minor"/>
      </rPr>
      <t xml:space="preserve"> = categorical fields (State, Product, Region).</t>
    </r>
  </si>
  <si>
    <r>
      <t>Timeline</t>
    </r>
    <r>
      <rPr>
        <sz val="11"/>
        <color theme="1"/>
        <rFont val="Aptos Narrow"/>
        <family val="2"/>
        <scheme val="minor"/>
      </rPr>
      <t xml:space="preserve"> = sirf </t>
    </r>
    <r>
      <rPr>
        <b/>
        <sz val="11"/>
        <color theme="1"/>
        <rFont val="Aptos Narrow"/>
        <family val="2"/>
        <scheme val="minor"/>
      </rPr>
      <t>Date</t>
    </r>
    <r>
      <rPr>
        <sz val="11"/>
        <color theme="1"/>
        <rFont val="Aptos Narrow"/>
        <family val="2"/>
        <scheme val="minor"/>
      </rPr>
      <t xml:space="preserve"> field ke liye (Month/Quarter/Year ke slider jaisa).</t>
    </r>
  </si>
  <si>
    <r>
      <t xml:space="preserve">Bas! Ab aap State Slicer se select karenge to aapka </t>
    </r>
    <r>
      <rPr>
        <b/>
        <sz val="11"/>
        <color theme="1"/>
        <rFont val="Aptos Narrow"/>
        <family val="2"/>
        <scheme val="minor"/>
      </rPr>
      <t>Pivot Table + Pivot Chart</t>
    </r>
    <r>
      <rPr>
        <sz val="11"/>
        <color theme="1"/>
        <rFont val="Aptos Narrow"/>
        <family val="2"/>
        <scheme val="minor"/>
      </rPr>
      <t xml:space="preserve"> dono turant us state ke numbers show karenge, jaise screenshot me ho raha hai.</t>
    </r>
  </si>
  <si>
    <t>Emp Code</t>
  </si>
  <si>
    <t>Sales Executive</t>
  </si>
  <si>
    <t>Day1</t>
  </si>
  <si>
    <t>Day2</t>
  </si>
  <si>
    <t>Day3</t>
  </si>
  <si>
    <t>Day4</t>
  </si>
  <si>
    <t>Day5</t>
  </si>
  <si>
    <t>Total Sales</t>
  </si>
  <si>
    <t>Target</t>
  </si>
  <si>
    <t>Target Hit %</t>
  </si>
  <si>
    <t>Away From Target %</t>
  </si>
  <si>
    <t>Mum-TCL001</t>
  </si>
  <si>
    <t>Raj Verma</t>
  </si>
  <si>
    <t>Mum-TCL002</t>
  </si>
  <si>
    <t>Tanuja Kale</t>
  </si>
  <si>
    <t>Mum-TCL003</t>
  </si>
  <si>
    <t>Arvind Sharma</t>
  </si>
  <si>
    <t>Mum-TCL004</t>
  </si>
  <si>
    <t>Tahira Qureshi</t>
  </si>
  <si>
    <t>Mum-TCL005</t>
  </si>
  <si>
    <t>Anuj Sharma</t>
  </si>
  <si>
    <t>Mum-TCL006</t>
  </si>
  <si>
    <t>Syed Sohail</t>
  </si>
  <si>
    <t>Mum-TCL007</t>
  </si>
  <si>
    <t>Syed Saqib</t>
  </si>
  <si>
    <t>Mum-TCL008</t>
  </si>
  <si>
    <t>Syed Naved</t>
  </si>
  <si>
    <t>Mum-TCL009</t>
  </si>
  <si>
    <t>Swarnlata Borse</t>
  </si>
  <si>
    <t>Mum-TCL010</t>
  </si>
  <si>
    <t>Sushma Khandelwal</t>
  </si>
  <si>
    <t>Mum-TCL011</t>
  </si>
  <si>
    <t>Surendranath Thakur</t>
  </si>
  <si>
    <t>Mum-TCL012</t>
  </si>
  <si>
    <t>Sureendra Kumar</t>
  </si>
  <si>
    <t>Mum-TCL013</t>
  </si>
  <si>
    <t>Sunita Madnani</t>
  </si>
  <si>
    <t>Mum-TCL014</t>
  </si>
  <si>
    <t>Sunita Chawla</t>
  </si>
  <si>
    <t>Mum-TCL015</t>
  </si>
  <si>
    <t>Sunita Kumawat</t>
  </si>
  <si>
    <t>Mum-TCL016</t>
  </si>
  <si>
    <t>Sudhir Kumar</t>
  </si>
  <si>
    <t>Mum-TCL017</t>
  </si>
  <si>
    <t>Sudama Kumar</t>
  </si>
  <si>
    <t>Mum-TCL018</t>
  </si>
  <si>
    <t>Sonaram Munda</t>
  </si>
  <si>
    <t>Mum-TCL019</t>
  </si>
  <si>
    <t>Sheen Khan</t>
  </si>
  <si>
    <t>Mum-TCL020</t>
  </si>
  <si>
    <t>Shyamal Malakar</t>
  </si>
  <si>
    <t>Mum-TCL021</t>
  </si>
  <si>
    <t>Shubhanjali Joshi</t>
  </si>
  <si>
    <t>Mum-TCL022</t>
  </si>
  <si>
    <t>Kavita Sinha</t>
  </si>
  <si>
    <t>Mum-TCL023</t>
  </si>
  <si>
    <t>Rohit Kapoor</t>
  </si>
  <si>
    <t>Mum-TCL024</t>
  </si>
  <si>
    <t>Ayesha Khan</t>
  </si>
  <si>
    <t>Mum-TCL025</t>
  </si>
  <si>
    <t>Manoj Yadav</t>
  </si>
  <si>
    <t>Mum-TCL026</t>
  </si>
  <si>
    <t>Vinod Mehta</t>
  </si>
  <si>
    <t>Mum-TCL027</t>
  </si>
  <si>
    <t>Rekha Sharma</t>
  </si>
  <si>
    <t>Mum-TCL028</t>
  </si>
  <si>
    <t>Deepak Sood</t>
  </si>
  <si>
    <t>Mum-TCL029</t>
  </si>
  <si>
    <t>Neha Bhatia</t>
  </si>
  <si>
    <t>Mum-TCL030</t>
  </si>
  <si>
    <t>Ajay Chauhan</t>
  </si>
  <si>
    <t>Mum-TCL031</t>
  </si>
  <si>
    <t>Varun Malhotra</t>
  </si>
  <si>
    <t>Mum-TCL032</t>
  </si>
  <si>
    <t>Amrita Joshi</t>
  </si>
  <si>
    <t>Mum-TCL033</t>
  </si>
  <si>
    <t>Pooja Agarwal</t>
  </si>
  <si>
    <t>Mum-TCL034</t>
  </si>
  <si>
    <t>Ramesh Patil</t>
  </si>
  <si>
    <t>Mum-TCL035</t>
  </si>
  <si>
    <t>Sakshi Pandey</t>
  </si>
  <si>
    <t>Mum-TCL036</t>
  </si>
  <si>
    <t>Harish Gupta</t>
  </si>
  <si>
    <t>Mum-TCL037</t>
  </si>
  <si>
    <t>Vikas Jain</t>
  </si>
  <si>
    <t>Mum-TCL038</t>
  </si>
  <si>
    <t>Anita Kumari</t>
  </si>
  <si>
    <t>Mum-TCL039</t>
  </si>
  <si>
    <t>Kiran Desai</t>
  </si>
  <si>
    <t>Mum-TCL040</t>
  </si>
  <si>
    <t>Sandeep Rawat</t>
  </si>
  <si>
    <t>Mum-TCL041</t>
  </si>
  <si>
    <t>Monika Sharma</t>
  </si>
  <si>
    <t xml:space="preserve">Total Sales </t>
  </si>
  <si>
    <t>Target Hit % Wise</t>
  </si>
  <si>
    <t>Sales Excutive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</si>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</sst>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7" formatCode="&quot;₹&quot;\ #,##0.00;&quot;₹&quot;\ \-#,##0.00"/>
    <numFmt numFmtId="8" formatCode="&quot;₹&quot;\ #,##0.00;[Red]&quot;₹&quot;\ \-#,##0.00"/>
    <numFmt numFmtId="164" formatCode="ddd/mmmm/yyyy"/>
    <numFmt numFmtId="165" formatCode="[$-14009]yyyy/mm/dd;@"/>
  </numFmts>
  <fonts count="27">
    <font>
      <sz val="11"/>
      <color theme="1"/>
      <name val="Aptos Narrow"/>
      <family val="2"/>
      <scheme val="minor"/>
    </font>
    <font>
      <b/>
      <sz val="11"/>
      <color theme="1"/>
      <name val="Aptos Narrow"/>
      <family val="2"/>
      <scheme val="minor"/>
    </font>
    <font>
      <sz val="8"/>
      <name val="Aptos Narrow"/>
      <family val="2"/>
      <scheme val="minor"/>
    </font>
    <font>
      <u/>
      <sz val="11"/>
      <color theme="1"/>
      <name val="Aptos Narrow"/>
      <family val="2"/>
      <scheme val="minor"/>
    </font>
    <font>
      <b/>
      <sz val="14"/>
      <color theme="1"/>
      <name val="Aptos Narrow"/>
      <family val="2"/>
      <scheme val="minor"/>
    </font>
    <font>
      <b/>
      <sz val="16"/>
      <color theme="1"/>
      <name val="Aptos Narrow"/>
      <family val="2"/>
      <scheme val="minor"/>
    </font>
    <font>
      <b/>
      <sz val="12"/>
      <color theme="1"/>
      <name val="Aptos Narrow"/>
      <family val="2"/>
      <scheme val="minor"/>
    </font>
    <font>
      <b/>
      <sz val="22"/>
      <color theme="1"/>
      <name val="Aptos Narrow"/>
      <family val="2"/>
      <scheme val="minor"/>
    </font>
    <font>
      <sz val="16"/>
      <color theme="1"/>
      <name val="Aptos Narrow"/>
      <family val="2"/>
      <scheme val="minor"/>
    </font>
    <font>
      <sz val="14"/>
      <color theme="1"/>
      <name val="Aptos Narrow"/>
      <family val="2"/>
      <scheme val="minor"/>
    </font>
    <font>
      <sz val="22"/>
      <color theme="1"/>
      <name val="Aptos Narrow"/>
      <family val="2"/>
      <scheme val="minor"/>
    </font>
    <font>
      <sz val="12"/>
      <color theme="1"/>
      <name val="Aptos Narrow"/>
      <family val="2"/>
      <scheme val="minor"/>
    </font>
    <font>
      <b/>
      <sz val="20"/>
      <color theme="1"/>
      <name val="Aptos Narrow"/>
      <family val="2"/>
      <scheme val="minor"/>
    </font>
    <font>
      <b/>
      <sz val="18"/>
      <color theme="1"/>
      <name val="Aptos Narrow"/>
      <family val="2"/>
      <scheme val="minor"/>
    </font>
    <font>
      <sz val="18"/>
      <color theme="1"/>
      <name val="Aptos Narrow"/>
      <family val="2"/>
      <scheme val="minor"/>
    </font>
    <font>
      <b/>
      <sz val="24"/>
      <color theme="1"/>
      <name val="Aptos Narrow"/>
      <family val="2"/>
      <scheme val="minor"/>
    </font>
    <font>
      <sz val="10"/>
      <color theme="1"/>
      <name val="Aptos Narrow"/>
      <family val="2"/>
      <scheme val="minor"/>
    </font>
    <font>
      <b/>
      <sz val="28"/>
      <color theme="1"/>
      <name val="Aptos Narrow"/>
      <family val="2"/>
      <scheme val="minor"/>
    </font>
    <font>
      <b/>
      <sz val="11"/>
      <color theme="1"/>
      <name val="Calibri"/>
      <family val="2"/>
    </font>
    <font>
      <sz val="11"/>
      <color theme="1"/>
      <name val="Calibri"/>
      <family val="2"/>
    </font>
    <font>
      <b/>
      <sz val="13.5"/>
      <color theme="1"/>
      <name val="Aptos Narrow"/>
      <family val="2"/>
      <scheme val="minor"/>
    </font>
    <font>
      <sz val="10"/>
      <color theme="1"/>
      <name val="Arial Unicode MS"/>
    </font>
    <font>
      <sz val="20"/>
      <color theme="1"/>
      <name val="Aptos Narrow"/>
      <family val="2"/>
      <scheme val="minor"/>
    </font>
    <font>
      <b/>
      <sz val="10"/>
      <color theme="1"/>
      <name val="Arial Unicode MS"/>
    </font>
    <font>
      <i/>
      <sz val="11"/>
      <color theme="1"/>
      <name val="Aptos Narrow"/>
      <family val="2"/>
      <scheme val="minor"/>
    </font>
    <font>
      <i/>
      <sz val="10"/>
      <color theme="1"/>
      <name val="Arial Unicode MS"/>
    </font>
    <font>
      <sz val="8"/>
      <color rgb="FF000000"/>
      <name val="Segoe UI"/>
      <family val="2"/>
    </font>
  </fonts>
  <fills count="6">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rgb="FFCDC4FC"/>
        <bgColor indexed="64"/>
      </patternFill>
    </fill>
    <fill>
      <patternFill patternType="solid">
        <fgColor rgb="FFD9EAF7"/>
        <bgColor indexed="64"/>
      </patternFill>
    </fill>
  </fills>
  <borders count="9">
    <border>
      <left/>
      <right/>
      <top/>
      <bottom/>
      <diagonal/>
    </border>
    <border>
      <left/>
      <right/>
      <top/>
      <bottom style="thin">
        <color indexed="64"/>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78">
    <xf numFmtId="0" fontId="0" fillId="0" borderId="0" xfId="0"/>
    <xf numFmtId="0" fontId="0" fillId="2" borderId="0" xfId="0" applyFill="1"/>
    <xf numFmtId="0" fontId="0" fillId="2" borderId="1" xfId="0" applyFill="1" applyBorder="1"/>
    <xf numFmtId="0" fontId="3" fillId="0" borderId="0" xfId="0" applyFont="1"/>
    <xf numFmtId="0" fontId="0" fillId="0" borderId="0" xfId="0" applyAlignment="1">
      <alignment horizontal="center"/>
    </xf>
    <xf numFmtId="0" fontId="0" fillId="0" borderId="0" xfId="0" applyAlignment="1">
      <alignment vertical="center"/>
    </xf>
    <xf numFmtId="164" fontId="0" fillId="0" borderId="0" xfId="0" applyNumberFormat="1" applyAlignment="1">
      <alignment vertical="center"/>
    </xf>
    <xf numFmtId="164" fontId="0" fillId="0" borderId="0" xfId="0" applyNumberFormat="1"/>
    <xf numFmtId="7" fontId="0" fillId="0" borderId="0" xfId="0" applyNumberFormat="1" applyAlignment="1">
      <alignment vertical="center"/>
    </xf>
    <xf numFmtId="7" fontId="0" fillId="0" borderId="0" xfId="0" applyNumberFormat="1"/>
    <xf numFmtId="0" fontId="1" fillId="0" borderId="2" xfId="0" applyFont="1" applyBorder="1" applyAlignment="1">
      <alignment horizontal="center" vertical="top"/>
    </xf>
    <xf numFmtId="0" fontId="0" fillId="0" borderId="1" xfId="0" applyBorder="1"/>
    <xf numFmtId="0" fontId="6" fillId="0" borderId="1" xfId="0" applyFont="1" applyBorder="1"/>
    <xf numFmtId="0" fontId="4" fillId="0" borderId="0" xfId="0" applyFont="1"/>
    <xf numFmtId="0" fontId="8" fillId="0" borderId="0" xfId="0" applyFont="1"/>
    <xf numFmtId="0" fontId="9" fillId="0" borderId="0" xfId="0" applyFont="1"/>
    <xf numFmtId="0" fontId="7" fillId="0" borderId="0" xfId="0" applyFont="1"/>
    <xf numFmtId="0" fontId="10" fillId="0" borderId="0" xfId="0" applyFont="1"/>
    <xf numFmtId="0" fontId="5" fillId="0" borderId="0" xfId="0" applyFont="1"/>
    <xf numFmtId="0" fontId="11" fillId="0" borderId="0" xfId="0" applyFont="1"/>
    <xf numFmtId="0" fontId="12" fillId="0" borderId="0" xfId="0" applyFont="1"/>
    <xf numFmtId="0" fontId="13" fillId="0" borderId="0" xfId="0" applyFont="1"/>
    <xf numFmtId="0" fontId="14" fillId="0" borderId="0" xfId="0" applyFont="1"/>
    <xf numFmtId="0" fontId="15" fillId="0" borderId="0" xfId="0" applyFont="1"/>
    <xf numFmtId="0" fontId="1" fillId="0" borderId="0" xfId="0" applyFont="1"/>
    <xf numFmtId="0" fontId="16" fillId="0" borderId="0" xfId="0" applyFont="1"/>
    <xf numFmtId="9" fontId="0" fillId="0" borderId="0" xfId="0" applyNumberFormat="1"/>
    <xf numFmtId="0" fontId="1" fillId="0" borderId="4" xfId="0" applyFont="1" applyBorder="1" applyAlignment="1">
      <alignment horizontal="center" vertical="top"/>
    </xf>
    <xf numFmtId="14" fontId="0" fillId="0" borderId="0" xfId="0" applyNumberFormat="1"/>
    <xf numFmtId="0" fontId="17" fillId="0" borderId="0" xfId="0" applyFont="1"/>
    <xf numFmtId="8" fontId="0" fillId="0" borderId="0" xfId="0" applyNumberFormat="1"/>
    <xf numFmtId="0" fontId="18" fillId="0" borderId="5" xfId="0" applyFont="1" applyBorder="1" applyAlignment="1">
      <alignment horizontal="center" vertical="top" wrapText="1"/>
    </xf>
    <xf numFmtId="0" fontId="18" fillId="0" borderId="6" xfId="0" applyFont="1" applyBorder="1" applyAlignment="1">
      <alignment horizontal="center" vertical="top" wrapText="1"/>
    </xf>
    <xf numFmtId="8" fontId="19" fillId="0" borderId="8" xfId="0" applyNumberFormat="1" applyFont="1" applyBorder="1" applyAlignment="1">
      <alignment horizontal="right" wrapText="1"/>
    </xf>
    <xf numFmtId="14" fontId="19" fillId="0" borderId="8" xfId="0" applyNumberFormat="1" applyFont="1" applyBorder="1" applyAlignment="1">
      <alignment horizontal="right" wrapText="1"/>
    </xf>
    <xf numFmtId="0" fontId="19" fillId="0" borderId="8" xfId="0" applyFont="1" applyBorder="1" applyAlignment="1">
      <alignment horizontal="right" wrapText="1"/>
    </xf>
    <xf numFmtId="0" fontId="19" fillId="2" borderId="7" xfId="0" applyFont="1" applyFill="1" applyBorder="1" applyAlignment="1">
      <alignment wrapText="1"/>
    </xf>
    <xf numFmtId="0" fontId="19" fillId="2" borderId="8" xfId="0" applyFont="1" applyFill="1" applyBorder="1" applyAlignment="1">
      <alignment wrapText="1"/>
    </xf>
    <xf numFmtId="0" fontId="20"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21" fillId="0" borderId="0" xfId="0" applyFont="1" applyAlignment="1">
      <alignment vertical="center"/>
    </xf>
    <xf numFmtId="0" fontId="22" fillId="0" borderId="0" xfId="0" applyFont="1"/>
    <xf numFmtId="0" fontId="1"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0" fontId="0" fillId="0" borderId="0" xfId="0" applyAlignment="1">
      <alignment horizontal="left" vertical="center" indent="2"/>
    </xf>
    <xf numFmtId="0" fontId="23" fillId="0" borderId="0" xfId="0" applyFont="1" applyAlignment="1">
      <alignment horizontal="left" vertical="center" indent="1"/>
    </xf>
    <xf numFmtId="0" fontId="1" fillId="0" borderId="0" xfId="0" applyFont="1" applyAlignment="1">
      <alignment horizontal="left" vertical="center" indent="2"/>
    </xf>
    <xf numFmtId="0" fontId="6" fillId="0" borderId="0" xfId="0" applyFont="1"/>
    <xf numFmtId="0" fontId="21" fillId="0" borderId="0" xfId="0" applyFont="1" applyAlignment="1">
      <alignment horizontal="left" vertical="center" indent="1"/>
    </xf>
    <xf numFmtId="2" fontId="0" fillId="0" borderId="0" xfId="0" applyNumberFormat="1"/>
    <xf numFmtId="165" fontId="0" fillId="0" borderId="0" xfId="0" applyNumberFormat="1"/>
    <xf numFmtId="14" fontId="21" fillId="0" borderId="0" xfId="0" applyNumberFormat="1" applyFont="1" applyAlignment="1">
      <alignment vertical="center"/>
    </xf>
    <xf numFmtId="0" fontId="21" fillId="0" borderId="0" xfId="0" applyFont="1"/>
    <xf numFmtId="14" fontId="4" fillId="0" borderId="0" xfId="0" applyNumberFormat="1" applyFont="1"/>
    <xf numFmtId="0" fontId="13" fillId="0" borderId="0" xfId="0" applyFont="1" applyAlignment="1">
      <alignment vertical="center"/>
    </xf>
    <xf numFmtId="0" fontId="21" fillId="0" borderId="0" xfId="0" applyFont="1" applyAlignment="1">
      <alignment horizontal="left" vertical="center" indent="2"/>
    </xf>
    <xf numFmtId="0" fontId="23" fillId="0" borderId="0" xfId="0" applyFont="1" applyAlignment="1">
      <alignment horizontal="left" vertical="center" indent="2"/>
    </xf>
    <xf numFmtId="0" fontId="0" fillId="0" borderId="0" xfId="0" applyAlignment="1">
      <alignment horizontal="left" vertical="center" indent="3"/>
    </xf>
    <xf numFmtId="0" fontId="21" fillId="0" borderId="0" xfId="0" applyFont="1" applyAlignment="1">
      <alignment horizontal="left" vertical="center" indent="3"/>
    </xf>
    <xf numFmtId="0" fontId="0" fillId="0" borderId="0" xfId="0" applyAlignment="1">
      <alignment horizontal="left" vertical="center" indent="4"/>
    </xf>
    <xf numFmtId="0" fontId="0" fillId="0" borderId="0" xfId="0" applyAlignment="1">
      <alignment horizontal="left" vertical="center" indent="5"/>
    </xf>
    <xf numFmtId="14" fontId="0" fillId="0" borderId="0" xfId="0" applyNumberFormat="1" applyAlignment="1">
      <alignment horizontal="left" vertical="center" indent="4"/>
    </xf>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0" xfId="0" applyFont="1" applyAlignment="1">
      <alignment horizontal="left" vertical="center" indent="3"/>
    </xf>
    <xf numFmtId="0" fontId="24" fillId="0" borderId="0" xfId="0" applyFont="1" applyAlignment="1">
      <alignment horizontal="left" vertical="center" indent="1"/>
    </xf>
    <xf numFmtId="10" fontId="0" fillId="0" borderId="0" xfId="0" applyNumberFormat="1"/>
    <xf numFmtId="0" fontId="0" fillId="3" borderId="0" xfId="0" applyFill="1"/>
    <xf numFmtId="0" fontId="0" fillId="4" borderId="0" xfId="0" applyFill="1"/>
    <xf numFmtId="0" fontId="0" fillId="5" borderId="0" xfId="0" applyFill="1"/>
    <xf numFmtId="0" fontId="1" fillId="0" borderId="0" xfId="0" applyFont="1" applyAlignment="1">
      <alignment horizontal="center"/>
    </xf>
    <xf numFmtId="0" fontId="0" fillId="0" borderId="0" xfId="0" applyAlignment="1">
      <alignment horizontal="center"/>
    </xf>
    <xf numFmtId="0" fontId="0" fillId="0" borderId="3" xfId="0" applyBorder="1" applyAlignment="1">
      <alignment horizontal="center"/>
    </xf>
    <xf numFmtId="0" fontId="4" fillId="0" borderId="0" xfId="0" applyFont="1" applyAlignment="1">
      <alignment horizontal="center"/>
    </xf>
    <xf numFmtId="0" fontId="0" fillId="0" borderId="0" xfId="0" applyNumberFormat="1"/>
  </cellXfs>
  <cellStyles count="1">
    <cellStyle name="Normal" xfId="0" builtinId="0"/>
  </cellStyles>
  <dxfs count="19">
    <dxf>
      <fill>
        <patternFill>
          <bgColor rgb="FFFFFF00"/>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bgColor rgb="FFFFFF00"/>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rgb="FFFFC000"/>
        </patternFill>
      </fill>
    </dxf>
    <dxf>
      <fill>
        <patternFill>
          <bgColor rgb="FFD9EAF7"/>
        </patternFill>
      </fill>
    </dxf>
  </dxfs>
  <tableStyles count="2" defaultTableStyle="TableStyleMedium2" defaultPivotStyle="PivotStyleLight16">
    <tableStyle name="Slicer Style 1" pivot="0" table="0" count="0" xr9:uid="{C01E2F06-BC03-4B2A-8BA0-F3FB81632163}"/>
    <tableStyle name="Slicer Style 2" pivot="0" table="0" count="5" xr9:uid="{EC37F0BA-4FE7-45FC-A1FB-7D13FD255546}">
      <tableStyleElement type="wholeTable" dxfId="18"/>
    </tableStyle>
  </tableStyles>
  <colors>
    <mruColors>
      <color rgb="FFD9EAF7"/>
      <color rgb="FFE6E6E6"/>
      <color rgb="FFCC99FF"/>
      <color rgb="FF9966FF"/>
      <color rgb="FFCDC4FC"/>
      <color rgb="FF9999FF"/>
      <color rgb="FF905BB1"/>
    </mruColors>
  </colors>
  <extLst>
    <ext xmlns:x14="http://schemas.microsoft.com/office/spreadsheetml/2009/9/main" uri="{46F421CA-312F-682f-3DD2-61675219B42D}">
      <x14:dxfs count="4">
        <dxf>
          <fill>
            <patternFill>
              <bgColor theme="5" tint="0.79998168889431442"/>
            </patternFill>
          </fill>
        </dxf>
        <dxf>
          <fill>
            <patternFill>
              <bgColor theme="8" tint="0.59996337778862885"/>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40" Type="http://schemas.microsoft.com/office/2007/relationships/slicerCache" Target="slicerCaches/slicerCache2.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1/relationships/timelineCache" Target="timelineCaches/timelineCach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Data.xlsm]Sheet4!PivotTable2</c:name>
    <c:fmtId val="0"/>
  </c:pivotSource>
  <c:chart>
    <c:autoTitleDeleted val="0"/>
    <c:pivotFmts>
      <c:pivotFmt>
        <c:idx val="0"/>
        <c:spPr>
          <a:solidFill>
            <a:schemeClr val="accent1"/>
          </a:solidFill>
          <a:ln/>
          <a:effectLst/>
          <a:sp3d/>
        </c:spPr>
        <c:marker>
          <c:symbol val="none"/>
        </c:marker>
        <c:dLbl>
          <c:idx val="0"/>
          <c:delete val="1"/>
          <c:extLst>
            <c:ext xmlns:c15="http://schemas.microsoft.com/office/drawing/2012/chart" uri="{CE6537A1-D6FC-4f65-9D91-7224C49458BB}"/>
          </c:extLst>
        </c:dLbl>
      </c:pivotFmt>
      <c:pivotFmt>
        <c:idx val="1"/>
        <c:spPr>
          <a:solidFill>
            <a:schemeClr val="accent2"/>
          </a:solidFill>
          <a:ln/>
          <a:effectLst/>
          <a:sp3d/>
        </c:spPr>
        <c:marker>
          <c:symbol val="none"/>
        </c:marker>
        <c:dLbl>
          <c:idx val="0"/>
          <c:delete val="1"/>
          <c:extLst>
            <c:ext xmlns:c15="http://schemas.microsoft.com/office/drawing/2012/chart" uri="{CE6537A1-D6FC-4f65-9D91-7224C49458BB}"/>
          </c:extLst>
        </c:dLbl>
      </c:pivotFmt>
      <c:pivotFmt>
        <c:idx val="2"/>
        <c:spPr>
          <a:solidFill>
            <a:schemeClr val="accent3"/>
          </a:solidFill>
          <a:ln/>
          <a:effectLst/>
          <a:sp3d/>
        </c:spPr>
        <c:marker>
          <c:symbol val="none"/>
        </c:marker>
        <c:dLbl>
          <c:idx val="0"/>
          <c:delete val="1"/>
          <c:extLst>
            <c:ext xmlns:c15="http://schemas.microsoft.com/office/drawing/2012/chart" uri="{CE6537A1-D6FC-4f65-9D91-7224C49458BB}"/>
          </c:extLst>
        </c:dLbl>
      </c:pivotFmt>
      <c:pivotFmt>
        <c:idx val="3"/>
        <c:spPr>
          <a:solidFill>
            <a:schemeClr val="accent4"/>
          </a:solidFill>
          <a:ln/>
          <a:effectLst/>
          <a:sp3d/>
        </c:spPr>
        <c:marker>
          <c:symbol val="none"/>
        </c:marker>
        <c:dLbl>
          <c:idx val="0"/>
          <c:delete val="1"/>
          <c:extLst>
            <c:ext xmlns:c15="http://schemas.microsoft.com/office/drawing/2012/chart" uri="{CE6537A1-D6FC-4f65-9D91-7224C49458BB}"/>
          </c:extLst>
        </c:dLbl>
      </c:pivotFmt>
      <c:pivotFmt>
        <c:idx val="4"/>
        <c:spPr>
          <a:solidFill>
            <a:schemeClr val="accent5"/>
          </a:solidFill>
          <a:ln/>
          <a:effectLst/>
          <a:sp3d/>
        </c:spPr>
        <c:marker>
          <c:symbol val="none"/>
        </c:marker>
        <c:dLbl>
          <c:idx val="0"/>
          <c:delete val="1"/>
          <c:extLst>
            <c:ext xmlns:c15="http://schemas.microsoft.com/office/drawing/2012/chart" uri="{CE6537A1-D6FC-4f65-9D91-7224C49458BB}"/>
          </c:extLst>
        </c:dLbl>
      </c:pivotFmt>
      <c:pivotFmt>
        <c:idx val="5"/>
        <c:spPr>
          <a:solidFill>
            <a:schemeClr val="accent1"/>
          </a:solidFill>
          <a:ln/>
          <a:effectLst/>
          <a:sp3d/>
        </c:spPr>
      </c:pivotFmt>
      <c:pivotFmt>
        <c:idx val="6"/>
        <c:spPr>
          <a:solidFill>
            <a:schemeClr val="accent2"/>
          </a:solidFill>
          <a:ln/>
          <a:effectLst/>
          <a:sp3d/>
        </c:spPr>
      </c:pivotFmt>
      <c:pivotFmt>
        <c:idx val="7"/>
        <c:spPr>
          <a:solidFill>
            <a:schemeClr val="accent3"/>
          </a:solidFill>
          <a:ln/>
          <a:effectLst/>
          <a:sp3d/>
        </c:spPr>
      </c:pivotFmt>
      <c:pivotFmt>
        <c:idx val="8"/>
        <c:spPr>
          <a:solidFill>
            <a:schemeClr val="accent4"/>
          </a:solidFill>
          <a:ln/>
          <a:effectLst/>
          <a:sp3d/>
        </c:spPr>
      </c:pivotFmt>
      <c:pivotFmt>
        <c:idx val="9"/>
        <c:spPr>
          <a:solidFill>
            <a:schemeClr val="accent5"/>
          </a:solidFill>
          <a:ln/>
          <a:effectLst/>
          <a:sp3d/>
        </c:spPr>
      </c:pivotFmt>
      <c:pivotFmt>
        <c:idx val="10"/>
        <c:spPr>
          <a:solidFill>
            <a:schemeClr val="accent6"/>
          </a:solidFill>
          <a:ln/>
          <a:effectLst/>
          <a:sp3d/>
        </c:spPr>
      </c:pivotFmt>
      <c:pivotFmt>
        <c:idx val="11"/>
        <c:spPr>
          <a:solidFill>
            <a:schemeClr val="accent1">
              <a:lumMod val="60000"/>
            </a:schemeClr>
          </a:solidFill>
          <a:ln/>
          <a:effectLst/>
          <a:sp3d/>
        </c:spPr>
      </c:pivotFmt>
      <c:pivotFmt>
        <c:idx val="12"/>
        <c:spPr>
          <a:solidFill>
            <a:schemeClr val="accent2">
              <a:lumMod val="60000"/>
            </a:schemeClr>
          </a:solidFill>
          <a:ln/>
          <a:effectLst/>
          <a:sp3d/>
        </c:spPr>
      </c:pivotFmt>
      <c:pivotFmt>
        <c:idx val="13"/>
        <c:spPr>
          <a:solidFill>
            <a:schemeClr val="accent3">
              <a:lumMod val="60000"/>
            </a:schemeClr>
          </a:solidFill>
          <a:ln/>
          <a:effectLst/>
          <a:sp3d/>
        </c:spPr>
      </c:pivotFmt>
      <c:pivotFmt>
        <c:idx val="14"/>
        <c:spPr>
          <a:solidFill>
            <a:schemeClr val="accent4">
              <a:lumMod val="60000"/>
            </a:schemeClr>
          </a:solidFill>
          <a:ln/>
          <a:effectLst/>
          <a:sp3d/>
        </c:spPr>
      </c:pivotFmt>
      <c:pivotFmt>
        <c:idx val="15"/>
        <c:spPr>
          <a:solidFill>
            <a:schemeClr val="accent5">
              <a:lumMod val="60000"/>
            </a:schemeClr>
          </a:solidFill>
          <a:ln/>
          <a:effectLst/>
          <a:sp3d/>
        </c:spPr>
      </c:pivotFmt>
      <c:pivotFmt>
        <c:idx val="16"/>
        <c:spPr>
          <a:solidFill>
            <a:schemeClr val="accent6">
              <a:lumMod val="60000"/>
            </a:schemeClr>
          </a:solidFill>
          <a:ln/>
          <a:effectLst/>
          <a:sp3d/>
        </c:spPr>
      </c:pivotFmt>
      <c:pivotFmt>
        <c:idx val="17"/>
        <c:spPr>
          <a:solidFill>
            <a:schemeClr val="accent1">
              <a:lumMod val="80000"/>
              <a:lumOff val="20000"/>
            </a:schemeClr>
          </a:solidFill>
          <a:ln/>
          <a:effectLst/>
          <a:sp3d/>
        </c:spPr>
      </c:pivotFmt>
      <c:pivotFmt>
        <c:idx val="18"/>
        <c:spPr>
          <a:solidFill>
            <a:schemeClr val="accent2">
              <a:lumMod val="80000"/>
              <a:lumOff val="20000"/>
            </a:schemeClr>
          </a:solidFill>
          <a:ln/>
          <a:effectLst/>
          <a:sp3d/>
        </c:spP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Sheet4!$B$3:$B$4</c:f>
              <c:strCache>
                <c:ptCount val="1"/>
                <c:pt idx="0">
                  <c:v>Clothing</c:v>
                </c:pt>
              </c:strCache>
            </c:strRef>
          </c:tx>
          <c:spPr>
            <a:solidFill>
              <a:schemeClr val="accent1"/>
            </a:solidFill>
            <a:ln/>
            <a:effectLst/>
            <a:sp3d/>
          </c:spPr>
          <c:cat>
            <c:strRef>
              <c:f>Sheet4!$A$5:$A$19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Sheet4!$B$5:$B$19</c:f>
              <c:numCache>
                <c:formatCode>General</c:formatCode>
                <c:ptCount val="14"/>
                <c:pt idx="1">
                  <c:v>1</c:v>
                </c:pt>
                <c:pt idx="2">
                  <c:v>1</c:v>
                </c:pt>
                <c:pt idx="3">
                  <c:v>3</c:v>
                </c:pt>
                <c:pt idx="6">
                  <c:v>3</c:v>
                </c:pt>
                <c:pt idx="8">
                  <c:v>2</c:v>
                </c:pt>
                <c:pt idx="11">
                  <c:v>1</c:v>
                </c:pt>
                <c:pt idx="12">
                  <c:v>1</c:v>
                </c:pt>
              </c:numCache>
            </c:numRef>
          </c:val>
          <c:extLst>
            <c:ext xmlns:c16="http://schemas.microsoft.com/office/drawing/2014/chart" uri="{C3380CC4-5D6E-409C-BE32-E72D297353CC}">
              <c16:uniqueId val="{00000000-E88D-408E-8849-2F626FF35B12}"/>
            </c:ext>
          </c:extLst>
        </c:ser>
        <c:ser>
          <c:idx val="1"/>
          <c:order val="1"/>
          <c:tx>
            <c:strRef>
              <c:f>Sheet4!$C$3:$C$4</c:f>
              <c:strCache>
                <c:ptCount val="1"/>
                <c:pt idx="0">
                  <c:v>Electronics</c:v>
                </c:pt>
              </c:strCache>
            </c:strRef>
          </c:tx>
          <c:spPr>
            <a:solidFill>
              <a:schemeClr val="accent2"/>
            </a:solidFill>
            <a:ln/>
            <a:effectLst/>
            <a:sp3d/>
          </c:spPr>
          <c:cat>
            <c:strRef>
              <c:f>Sheet4!$A$5:$A$19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Sheet4!$C$5:$C$19</c:f>
              <c:numCache>
                <c:formatCode>General</c:formatCode>
                <c:ptCount val="14"/>
                <c:pt idx="3">
                  <c:v>2</c:v>
                </c:pt>
                <c:pt idx="6">
                  <c:v>1</c:v>
                </c:pt>
                <c:pt idx="8">
                  <c:v>1</c:v>
                </c:pt>
                <c:pt idx="11">
                  <c:v>1</c:v>
                </c:pt>
                <c:pt idx="12">
                  <c:v>1</c:v>
                </c:pt>
                <c:pt idx="13">
                  <c:v>1</c:v>
                </c:pt>
              </c:numCache>
            </c:numRef>
          </c:val>
          <c:extLst>
            <c:ext xmlns:c16="http://schemas.microsoft.com/office/drawing/2014/chart" uri="{C3380CC4-5D6E-409C-BE32-E72D297353CC}">
              <c16:uniqueId val="{00000001-E88D-408E-8849-2F626FF35B12}"/>
            </c:ext>
          </c:extLst>
        </c:ser>
        <c:ser>
          <c:idx val="2"/>
          <c:order val="2"/>
          <c:tx>
            <c:strRef>
              <c:f>Sheet4!$D$3:$D$4</c:f>
              <c:strCache>
                <c:ptCount val="1"/>
                <c:pt idx="0">
                  <c:v>Furniture</c:v>
                </c:pt>
              </c:strCache>
            </c:strRef>
          </c:tx>
          <c:spPr>
            <a:solidFill>
              <a:schemeClr val="accent3"/>
            </a:solidFill>
            <a:ln/>
            <a:effectLst/>
            <a:sp3d/>
          </c:spPr>
          <c:cat>
            <c:strRef>
              <c:f>Sheet4!$A$5:$A$19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Sheet4!$D$5:$D$19</c:f>
              <c:numCache>
                <c:formatCode>General</c:formatCode>
                <c:ptCount val="14"/>
                <c:pt idx="1">
                  <c:v>1</c:v>
                </c:pt>
                <c:pt idx="5">
                  <c:v>1</c:v>
                </c:pt>
                <c:pt idx="7">
                  <c:v>1</c:v>
                </c:pt>
                <c:pt idx="8">
                  <c:v>2</c:v>
                </c:pt>
                <c:pt idx="11">
                  <c:v>1</c:v>
                </c:pt>
              </c:numCache>
            </c:numRef>
          </c:val>
          <c:extLst>
            <c:ext xmlns:c16="http://schemas.microsoft.com/office/drawing/2014/chart" uri="{C3380CC4-5D6E-409C-BE32-E72D297353CC}">
              <c16:uniqueId val="{00000002-E88D-408E-8849-2F626FF35B12}"/>
            </c:ext>
          </c:extLst>
        </c:ser>
        <c:ser>
          <c:idx val="3"/>
          <c:order val="3"/>
          <c:tx>
            <c:strRef>
              <c:f>Sheet4!$E$3:$E$4</c:f>
              <c:strCache>
                <c:ptCount val="1"/>
                <c:pt idx="0">
                  <c:v>Groceries</c:v>
                </c:pt>
              </c:strCache>
            </c:strRef>
          </c:tx>
          <c:spPr>
            <a:solidFill>
              <a:schemeClr val="accent4"/>
            </a:solidFill>
            <a:ln/>
            <a:effectLst/>
            <a:sp3d/>
          </c:spPr>
          <c:cat>
            <c:strRef>
              <c:f>Sheet4!$A$5:$A$19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Sheet4!$E$5:$E$19</c:f>
              <c:numCache>
                <c:formatCode>General</c:formatCode>
                <c:ptCount val="14"/>
                <c:pt idx="0">
                  <c:v>1</c:v>
                </c:pt>
                <c:pt idx="3">
                  <c:v>1</c:v>
                </c:pt>
                <c:pt idx="6">
                  <c:v>2</c:v>
                </c:pt>
                <c:pt idx="8">
                  <c:v>1</c:v>
                </c:pt>
                <c:pt idx="9">
                  <c:v>1</c:v>
                </c:pt>
                <c:pt idx="11">
                  <c:v>1</c:v>
                </c:pt>
              </c:numCache>
            </c:numRef>
          </c:val>
          <c:extLst>
            <c:ext xmlns:c16="http://schemas.microsoft.com/office/drawing/2014/chart" uri="{C3380CC4-5D6E-409C-BE32-E72D297353CC}">
              <c16:uniqueId val="{00000003-E88D-408E-8849-2F626FF35B12}"/>
            </c:ext>
          </c:extLst>
        </c:ser>
        <c:ser>
          <c:idx val="4"/>
          <c:order val="4"/>
          <c:tx>
            <c:strRef>
              <c:f>Sheet4!$F$3:$F$4</c:f>
              <c:strCache>
                <c:ptCount val="1"/>
                <c:pt idx="0">
                  <c:v>Stationery</c:v>
                </c:pt>
              </c:strCache>
            </c:strRef>
          </c:tx>
          <c:spPr>
            <a:solidFill>
              <a:schemeClr val="accent5"/>
            </a:solidFill>
            <a:ln/>
            <a:effectLst/>
            <a:sp3d/>
          </c:spPr>
          <c:cat>
            <c:strRef>
              <c:f>Sheet4!$A$5:$A$19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Sheet4!$F$5:$F$19</c:f>
              <c:numCache>
                <c:formatCode>General</c:formatCode>
                <c:ptCount val="14"/>
                <c:pt idx="1">
                  <c:v>1</c:v>
                </c:pt>
                <c:pt idx="4">
                  <c:v>1</c:v>
                </c:pt>
                <c:pt idx="6">
                  <c:v>1</c:v>
                </c:pt>
                <c:pt idx="7">
                  <c:v>1</c:v>
                </c:pt>
                <c:pt idx="10">
                  <c:v>1</c:v>
                </c:pt>
                <c:pt idx="11">
                  <c:v>4</c:v>
                </c:pt>
              </c:numCache>
            </c:numRef>
          </c:val>
          <c:extLst>
            <c:ext xmlns:c16="http://schemas.microsoft.com/office/drawing/2014/chart" uri="{C3380CC4-5D6E-409C-BE32-E72D297353CC}">
              <c16:uniqueId val="{00000004-E88D-408E-8849-2F626FF35B12}"/>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s>
        <c:axId val="1920752080"/>
        <c:axId val="1920753520"/>
        <c:axId val="1991587072"/>
      </c:surface3DChart>
      <c:catAx>
        <c:axId val="19207520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753520"/>
        <c:crosses val="autoZero"/>
        <c:auto val="1"/>
        <c:lblAlgn val="ctr"/>
        <c:lblOffset val="100"/>
        <c:noMultiLvlLbl val="0"/>
      </c:catAx>
      <c:valAx>
        <c:axId val="1920753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752080"/>
        <c:crosses val="autoZero"/>
        <c:crossBetween val="midCat"/>
      </c:valAx>
      <c:serAx>
        <c:axId val="199158707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75352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Data.xlsm]Clothing!PivotTable9</c:name>
    <c:fmtId val="1"/>
  </c:pivotSource>
  <c:chart>
    <c:autoTitleDeleted val="0"/>
    <c:pivotFmts>
      <c:pivotFmt>
        <c:idx val="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7"/>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8"/>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9"/>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0"/>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1"/>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2"/>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3"/>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4"/>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5"/>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6"/>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7"/>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8"/>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9"/>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0"/>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1"/>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2"/>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3"/>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s>
    <c:plotArea>
      <c:layout/>
      <c:barChart>
        <c:barDir val="col"/>
        <c:grouping val="clustered"/>
        <c:varyColors val="0"/>
        <c:ser>
          <c:idx val="0"/>
          <c:order val="0"/>
          <c:tx>
            <c:strRef>
              <c:f>Clothing!$B$3:$B$4</c:f>
              <c:strCache>
                <c:ptCount val="1"/>
                <c:pt idx="0">
                  <c:v>North</c:v>
                </c:pt>
              </c:strCache>
            </c:strRef>
          </c:tx>
          <c:spPr>
            <a:solidFill>
              <a:schemeClr val="accent1"/>
            </a:solidFill>
            <a:ln>
              <a:noFill/>
            </a:ln>
            <a:effectLst>
              <a:outerShdw blurRad="63500" sx="102000" sy="102000" algn="ctr"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Clothing!$A$5:$A$12</c:f>
              <c:strCache>
                <c:ptCount val="7"/>
                <c:pt idx="0">
                  <c:v>Delhi</c:v>
                </c:pt>
                <c:pt idx="1">
                  <c:v>Goa</c:v>
                </c:pt>
                <c:pt idx="2">
                  <c:v>Gujarat</c:v>
                </c:pt>
                <c:pt idx="3">
                  <c:v>Karnataka</c:v>
                </c:pt>
                <c:pt idx="4">
                  <c:v>Maharashtra</c:v>
                </c:pt>
                <c:pt idx="5">
                  <c:v>Tamil Nadu</c:v>
                </c:pt>
                <c:pt idx="6">
                  <c:v>Uttar Pradesh</c:v>
                </c:pt>
              </c:strCache>
            </c:strRef>
          </c:cat>
          <c:val>
            <c:numRef>
              <c:f>Clothing!$B$5:$B$12</c:f>
              <c:numCache>
                <c:formatCode>General</c:formatCode>
                <c:ptCount val="7"/>
                <c:pt idx="0">
                  <c:v>1</c:v>
                </c:pt>
                <c:pt idx="6">
                  <c:v>4</c:v>
                </c:pt>
              </c:numCache>
            </c:numRef>
          </c:val>
          <c:extLst>
            <c:ext xmlns:c16="http://schemas.microsoft.com/office/drawing/2014/chart" uri="{C3380CC4-5D6E-409C-BE32-E72D297353CC}">
              <c16:uniqueId val="{00000000-5104-4942-947A-BD6EE06CFB21}"/>
            </c:ext>
          </c:extLst>
        </c:ser>
        <c:ser>
          <c:idx val="1"/>
          <c:order val="1"/>
          <c:tx>
            <c:strRef>
              <c:f>Clothing!$C$3:$C$4</c:f>
              <c:strCache>
                <c:ptCount val="1"/>
                <c:pt idx="0">
                  <c:v>South</c:v>
                </c:pt>
              </c:strCache>
            </c:strRef>
          </c:tx>
          <c:spPr>
            <a:solidFill>
              <a:schemeClr val="accent2"/>
            </a:solidFill>
            <a:ln>
              <a:noFill/>
            </a:ln>
            <a:effectLst>
              <a:outerShdw blurRad="63500" sx="102000" sy="102000" algn="ctr"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Clothing!$A$5:$A$12</c:f>
              <c:strCache>
                <c:ptCount val="7"/>
                <c:pt idx="0">
                  <c:v>Delhi</c:v>
                </c:pt>
                <c:pt idx="1">
                  <c:v>Goa</c:v>
                </c:pt>
                <c:pt idx="2">
                  <c:v>Gujarat</c:v>
                </c:pt>
                <c:pt idx="3">
                  <c:v>Karnataka</c:v>
                </c:pt>
                <c:pt idx="4">
                  <c:v>Maharashtra</c:v>
                </c:pt>
                <c:pt idx="5">
                  <c:v>Tamil Nadu</c:v>
                </c:pt>
                <c:pt idx="6">
                  <c:v>Uttar Pradesh</c:v>
                </c:pt>
              </c:strCache>
            </c:strRef>
          </c:cat>
          <c:val>
            <c:numRef>
              <c:f>Clothing!$C$5:$C$12</c:f>
              <c:numCache>
                <c:formatCode>General</c:formatCode>
                <c:ptCount val="7"/>
                <c:pt idx="3">
                  <c:v>12</c:v>
                </c:pt>
                <c:pt idx="5">
                  <c:v>2</c:v>
                </c:pt>
              </c:numCache>
            </c:numRef>
          </c:val>
          <c:extLst>
            <c:ext xmlns:c16="http://schemas.microsoft.com/office/drawing/2014/chart" uri="{C3380CC4-5D6E-409C-BE32-E72D297353CC}">
              <c16:uniqueId val="{00000001-5104-4942-947A-BD6EE06CFB21}"/>
            </c:ext>
          </c:extLst>
        </c:ser>
        <c:ser>
          <c:idx val="2"/>
          <c:order val="2"/>
          <c:tx>
            <c:strRef>
              <c:f>Clothing!$D$3:$D$4</c:f>
              <c:strCache>
                <c:ptCount val="1"/>
                <c:pt idx="0">
                  <c:v>West</c:v>
                </c:pt>
              </c:strCache>
            </c:strRef>
          </c:tx>
          <c:spPr>
            <a:solidFill>
              <a:schemeClr val="accent3"/>
            </a:solidFill>
            <a:ln>
              <a:noFill/>
            </a:ln>
            <a:effectLst>
              <a:outerShdw blurRad="63500" sx="102000" sy="102000" algn="ctr"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Clothing!$A$5:$A$12</c:f>
              <c:strCache>
                <c:ptCount val="7"/>
                <c:pt idx="0">
                  <c:v>Delhi</c:v>
                </c:pt>
                <c:pt idx="1">
                  <c:v>Goa</c:v>
                </c:pt>
                <c:pt idx="2">
                  <c:v>Gujarat</c:v>
                </c:pt>
                <c:pt idx="3">
                  <c:v>Karnataka</c:v>
                </c:pt>
                <c:pt idx="4">
                  <c:v>Maharashtra</c:v>
                </c:pt>
                <c:pt idx="5">
                  <c:v>Tamil Nadu</c:v>
                </c:pt>
                <c:pt idx="6">
                  <c:v>Uttar Pradesh</c:v>
                </c:pt>
              </c:strCache>
            </c:strRef>
          </c:cat>
          <c:val>
            <c:numRef>
              <c:f>Clothing!$D$5:$D$12</c:f>
              <c:numCache>
                <c:formatCode>General</c:formatCode>
                <c:ptCount val="7"/>
                <c:pt idx="1">
                  <c:v>7</c:v>
                </c:pt>
                <c:pt idx="2">
                  <c:v>34</c:v>
                </c:pt>
                <c:pt idx="4">
                  <c:v>28</c:v>
                </c:pt>
              </c:numCache>
            </c:numRef>
          </c:val>
          <c:extLst>
            <c:ext xmlns:c16="http://schemas.microsoft.com/office/drawing/2014/chart" uri="{C3380CC4-5D6E-409C-BE32-E72D297353CC}">
              <c16:uniqueId val="{00000002-5104-4942-947A-BD6EE06CFB21}"/>
            </c:ext>
          </c:extLst>
        </c:ser>
        <c:dLbls>
          <c:dLblPos val="outEnd"/>
          <c:showLegendKey val="0"/>
          <c:showVal val="0"/>
          <c:showCatName val="0"/>
          <c:showSerName val="0"/>
          <c:showPercent val="1"/>
          <c:showBubbleSize val="0"/>
        </c:dLbls>
        <c:gapWidth val="100"/>
        <c:overlap val="-24"/>
        <c:axId val="1443949407"/>
        <c:axId val="1443949887"/>
      </c:barChart>
      <c:catAx>
        <c:axId val="14439494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949887"/>
        <c:crosses val="autoZero"/>
        <c:auto val="1"/>
        <c:lblAlgn val="ctr"/>
        <c:lblOffset val="100"/>
        <c:noMultiLvlLbl val="0"/>
      </c:catAx>
      <c:valAx>
        <c:axId val="1443949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949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Data.xlsm]Electronics!PivotTable8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s>
    <c:plotArea>
      <c:layout/>
      <c:pieChart>
        <c:varyColors val="1"/>
        <c:ser>
          <c:idx val="0"/>
          <c:order val="0"/>
          <c:tx>
            <c:strRef>
              <c:f>Electronics!$B$3:$B$4</c:f>
              <c:strCache>
                <c:ptCount val="1"/>
                <c:pt idx="0">
                  <c:v>North</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0F-4B5F-AFF3-86D2602071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0F-4B5F-AFF3-86D2602071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0F-4B5F-AFF3-86D26020716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20F-4B5F-AFF3-86D2602071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20F-4B5F-AFF3-86D2602071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20F-4B5F-AFF3-86D26020716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20F-4B5F-AFF3-86D260207169}"/>
              </c:ext>
            </c:extLst>
          </c:dPt>
          <c:cat>
            <c:strRef>
              <c:f>Electronics!$A$5:$A$12</c:f>
              <c:strCache>
                <c:ptCount val="7"/>
                <c:pt idx="0">
                  <c:v>Delhi</c:v>
                </c:pt>
                <c:pt idx="1">
                  <c:v>Goa</c:v>
                </c:pt>
                <c:pt idx="2">
                  <c:v>Gujarat</c:v>
                </c:pt>
                <c:pt idx="3">
                  <c:v>Karnataka</c:v>
                </c:pt>
                <c:pt idx="4">
                  <c:v>Maharashtra</c:v>
                </c:pt>
                <c:pt idx="5">
                  <c:v>Tamil Nadu</c:v>
                </c:pt>
                <c:pt idx="6">
                  <c:v>Uttar Pradesh</c:v>
                </c:pt>
              </c:strCache>
            </c:strRef>
          </c:cat>
          <c:val>
            <c:numRef>
              <c:f>Electronics!$B$5:$B$12</c:f>
              <c:numCache>
                <c:formatCode>General</c:formatCode>
                <c:ptCount val="7"/>
                <c:pt idx="0">
                  <c:v>1</c:v>
                </c:pt>
                <c:pt idx="6">
                  <c:v>4</c:v>
                </c:pt>
              </c:numCache>
            </c:numRef>
          </c:val>
          <c:extLst>
            <c:ext xmlns:c16="http://schemas.microsoft.com/office/drawing/2014/chart" uri="{C3380CC4-5D6E-409C-BE32-E72D297353CC}">
              <c16:uniqueId val="{00000000-61CB-4A6E-A0C2-BFEAD592C085}"/>
            </c:ext>
          </c:extLst>
        </c:ser>
        <c:ser>
          <c:idx val="1"/>
          <c:order val="1"/>
          <c:tx>
            <c:strRef>
              <c:f>Electronics!$C$3:$C$4</c:f>
              <c:strCache>
                <c:ptCount val="1"/>
                <c:pt idx="0">
                  <c:v>South</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F-620F-4B5F-AFF3-86D2602071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1-620F-4B5F-AFF3-86D2602071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3-620F-4B5F-AFF3-86D26020716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5-620F-4B5F-AFF3-86D2602071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7-620F-4B5F-AFF3-86D2602071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9-620F-4B5F-AFF3-86D26020716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B-620F-4B5F-AFF3-86D260207169}"/>
              </c:ext>
            </c:extLst>
          </c:dPt>
          <c:cat>
            <c:strRef>
              <c:f>Electronics!$A$5:$A$12</c:f>
              <c:strCache>
                <c:ptCount val="7"/>
                <c:pt idx="0">
                  <c:v>Delhi</c:v>
                </c:pt>
                <c:pt idx="1">
                  <c:v>Goa</c:v>
                </c:pt>
                <c:pt idx="2">
                  <c:v>Gujarat</c:v>
                </c:pt>
                <c:pt idx="3">
                  <c:v>Karnataka</c:v>
                </c:pt>
                <c:pt idx="4">
                  <c:v>Maharashtra</c:v>
                </c:pt>
                <c:pt idx="5">
                  <c:v>Tamil Nadu</c:v>
                </c:pt>
                <c:pt idx="6">
                  <c:v>Uttar Pradesh</c:v>
                </c:pt>
              </c:strCache>
            </c:strRef>
          </c:cat>
          <c:val>
            <c:numRef>
              <c:f>Electronics!$C$5:$C$12</c:f>
              <c:numCache>
                <c:formatCode>General</c:formatCode>
                <c:ptCount val="7"/>
                <c:pt idx="3">
                  <c:v>12</c:v>
                </c:pt>
                <c:pt idx="5">
                  <c:v>2</c:v>
                </c:pt>
              </c:numCache>
            </c:numRef>
          </c:val>
          <c:extLst>
            <c:ext xmlns:c16="http://schemas.microsoft.com/office/drawing/2014/chart" uri="{C3380CC4-5D6E-409C-BE32-E72D297353CC}">
              <c16:uniqueId val="{00000001-61CB-4A6E-A0C2-BFEAD592C085}"/>
            </c:ext>
          </c:extLst>
        </c:ser>
        <c:ser>
          <c:idx val="2"/>
          <c:order val="2"/>
          <c:tx>
            <c:strRef>
              <c:f>Electronics!$D$3:$D$4</c:f>
              <c:strCache>
                <c:ptCount val="1"/>
                <c:pt idx="0">
                  <c:v>West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D-620F-4B5F-AFF3-86D2602071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F-620F-4B5F-AFF3-86D26020716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1-620F-4B5F-AFF3-86D26020716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3-620F-4B5F-AFF3-86D26020716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5-620F-4B5F-AFF3-86D26020716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7-620F-4B5F-AFF3-86D26020716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9-620F-4B5F-AFF3-86D260207169}"/>
              </c:ext>
            </c:extLst>
          </c:dPt>
          <c:cat>
            <c:strRef>
              <c:f>Electronics!$A$5:$A$12</c:f>
              <c:strCache>
                <c:ptCount val="7"/>
                <c:pt idx="0">
                  <c:v>Delhi</c:v>
                </c:pt>
                <c:pt idx="1">
                  <c:v>Goa</c:v>
                </c:pt>
                <c:pt idx="2">
                  <c:v>Gujarat</c:v>
                </c:pt>
                <c:pt idx="3">
                  <c:v>Karnataka</c:v>
                </c:pt>
                <c:pt idx="4">
                  <c:v>Maharashtra</c:v>
                </c:pt>
                <c:pt idx="5">
                  <c:v>Tamil Nadu</c:v>
                </c:pt>
                <c:pt idx="6">
                  <c:v>Uttar Pradesh</c:v>
                </c:pt>
              </c:strCache>
            </c:strRef>
          </c:cat>
          <c:val>
            <c:numRef>
              <c:f>Electronics!$D$5:$D$12</c:f>
              <c:numCache>
                <c:formatCode>General</c:formatCode>
                <c:ptCount val="7"/>
                <c:pt idx="1">
                  <c:v>7</c:v>
                </c:pt>
                <c:pt idx="2">
                  <c:v>34</c:v>
                </c:pt>
                <c:pt idx="4">
                  <c:v>28</c:v>
                </c:pt>
              </c:numCache>
            </c:numRef>
          </c:val>
          <c:extLst>
            <c:ext xmlns:c16="http://schemas.microsoft.com/office/drawing/2014/chart" uri="{C3380CC4-5D6E-409C-BE32-E72D297353CC}">
              <c16:uniqueId val="{00000002-61CB-4A6E-A0C2-BFEAD592C08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Data.xlsm]Furniture!PivotTable7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Furniture!$B$3:$B$4</c:f>
              <c:strCache>
                <c:ptCount val="1"/>
                <c:pt idx="0">
                  <c:v>Central</c:v>
                </c:pt>
              </c:strCache>
            </c:strRef>
          </c:tx>
          <c:spPr>
            <a:solidFill>
              <a:schemeClr val="accent1"/>
            </a:solidFill>
            <a:ln>
              <a:noFill/>
            </a:ln>
            <a:effectLst/>
          </c:spPr>
          <c:invertIfNegative val="0"/>
          <c:cat>
            <c:strRef>
              <c:f>Furniture!$A$5:$A$10</c:f>
              <c:strCache>
                <c:ptCount val="5"/>
                <c:pt idx="0">
                  <c:v>Delhi</c:v>
                </c:pt>
                <c:pt idx="1">
                  <c:v>Jharkhand</c:v>
                </c:pt>
                <c:pt idx="2">
                  <c:v>Madhya Pradesh</c:v>
                </c:pt>
                <c:pt idx="3">
                  <c:v>Maharashtra</c:v>
                </c:pt>
                <c:pt idx="4">
                  <c:v>Tamil Nadu</c:v>
                </c:pt>
              </c:strCache>
            </c:strRef>
          </c:cat>
          <c:val>
            <c:numRef>
              <c:f>Furniture!$B$5:$B$10</c:f>
              <c:numCache>
                <c:formatCode>General</c:formatCode>
                <c:ptCount val="5"/>
                <c:pt idx="2">
                  <c:v>10</c:v>
                </c:pt>
              </c:numCache>
            </c:numRef>
          </c:val>
          <c:extLst>
            <c:ext xmlns:c16="http://schemas.microsoft.com/office/drawing/2014/chart" uri="{C3380CC4-5D6E-409C-BE32-E72D297353CC}">
              <c16:uniqueId val="{00000000-4587-4642-B20D-B392773C79AD}"/>
            </c:ext>
          </c:extLst>
        </c:ser>
        <c:ser>
          <c:idx val="1"/>
          <c:order val="1"/>
          <c:tx>
            <c:strRef>
              <c:f>Furniture!$C$3:$C$4</c:f>
              <c:strCache>
                <c:ptCount val="1"/>
                <c:pt idx="0">
                  <c:v>East</c:v>
                </c:pt>
              </c:strCache>
            </c:strRef>
          </c:tx>
          <c:spPr>
            <a:solidFill>
              <a:schemeClr val="accent2"/>
            </a:solidFill>
            <a:ln>
              <a:noFill/>
            </a:ln>
            <a:effectLst/>
          </c:spPr>
          <c:invertIfNegative val="0"/>
          <c:cat>
            <c:strRef>
              <c:f>Furniture!$A$5:$A$10</c:f>
              <c:strCache>
                <c:ptCount val="5"/>
                <c:pt idx="0">
                  <c:v>Delhi</c:v>
                </c:pt>
                <c:pt idx="1">
                  <c:v>Jharkhand</c:v>
                </c:pt>
                <c:pt idx="2">
                  <c:v>Madhya Pradesh</c:v>
                </c:pt>
                <c:pt idx="3">
                  <c:v>Maharashtra</c:v>
                </c:pt>
                <c:pt idx="4">
                  <c:v>Tamil Nadu</c:v>
                </c:pt>
              </c:strCache>
            </c:strRef>
          </c:cat>
          <c:val>
            <c:numRef>
              <c:f>Furniture!$C$5:$C$10</c:f>
              <c:numCache>
                <c:formatCode>General</c:formatCode>
                <c:ptCount val="5"/>
                <c:pt idx="1">
                  <c:v>5</c:v>
                </c:pt>
              </c:numCache>
            </c:numRef>
          </c:val>
          <c:extLst>
            <c:ext xmlns:c16="http://schemas.microsoft.com/office/drawing/2014/chart" uri="{C3380CC4-5D6E-409C-BE32-E72D297353CC}">
              <c16:uniqueId val="{00000001-4587-4642-B20D-B392773C79AD}"/>
            </c:ext>
          </c:extLst>
        </c:ser>
        <c:ser>
          <c:idx val="2"/>
          <c:order val="2"/>
          <c:tx>
            <c:strRef>
              <c:f>Furniture!$D$3:$D$4</c:f>
              <c:strCache>
                <c:ptCount val="1"/>
                <c:pt idx="0">
                  <c:v>North</c:v>
                </c:pt>
              </c:strCache>
            </c:strRef>
          </c:tx>
          <c:spPr>
            <a:solidFill>
              <a:schemeClr val="accent3"/>
            </a:solidFill>
            <a:ln>
              <a:noFill/>
            </a:ln>
            <a:effectLst/>
          </c:spPr>
          <c:invertIfNegative val="0"/>
          <c:cat>
            <c:strRef>
              <c:f>Furniture!$A$5:$A$10</c:f>
              <c:strCache>
                <c:ptCount val="5"/>
                <c:pt idx="0">
                  <c:v>Delhi</c:v>
                </c:pt>
                <c:pt idx="1">
                  <c:v>Jharkhand</c:v>
                </c:pt>
                <c:pt idx="2">
                  <c:v>Madhya Pradesh</c:v>
                </c:pt>
                <c:pt idx="3">
                  <c:v>Maharashtra</c:v>
                </c:pt>
                <c:pt idx="4">
                  <c:v>Tamil Nadu</c:v>
                </c:pt>
              </c:strCache>
            </c:strRef>
          </c:cat>
          <c:val>
            <c:numRef>
              <c:f>Furniture!$D$5:$D$10</c:f>
              <c:numCache>
                <c:formatCode>General</c:formatCode>
                <c:ptCount val="5"/>
                <c:pt idx="0">
                  <c:v>2</c:v>
                </c:pt>
              </c:numCache>
            </c:numRef>
          </c:val>
          <c:extLst>
            <c:ext xmlns:c16="http://schemas.microsoft.com/office/drawing/2014/chart" uri="{C3380CC4-5D6E-409C-BE32-E72D297353CC}">
              <c16:uniqueId val="{00000002-4587-4642-B20D-B392773C79AD}"/>
            </c:ext>
          </c:extLst>
        </c:ser>
        <c:ser>
          <c:idx val="3"/>
          <c:order val="3"/>
          <c:tx>
            <c:strRef>
              <c:f>Furniture!$E$3:$E$4</c:f>
              <c:strCache>
                <c:ptCount val="1"/>
                <c:pt idx="0">
                  <c:v>South</c:v>
                </c:pt>
              </c:strCache>
            </c:strRef>
          </c:tx>
          <c:spPr>
            <a:solidFill>
              <a:schemeClr val="accent4"/>
            </a:solidFill>
            <a:ln>
              <a:noFill/>
            </a:ln>
            <a:effectLst/>
          </c:spPr>
          <c:invertIfNegative val="0"/>
          <c:cat>
            <c:strRef>
              <c:f>Furniture!$A$5:$A$10</c:f>
              <c:strCache>
                <c:ptCount val="5"/>
                <c:pt idx="0">
                  <c:v>Delhi</c:v>
                </c:pt>
                <c:pt idx="1">
                  <c:v>Jharkhand</c:v>
                </c:pt>
                <c:pt idx="2">
                  <c:v>Madhya Pradesh</c:v>
                </c:pt>
                <c:pt idx="3">
                  <c:v>Maharashtra</c:v>
                </c:pt>
                <c:pt idx="4">
                  <c:v>Tamil Nadu</c:v>
                </c:pt>
              </c:strCache>
            </c:strRef>
          </c:cat>
          <c:val>
            <c:numRef>
              <c:f>Furniture!$E$5:$E$10</c:f>
              <c:numCache>
                <c:formatCode>General</c:formatCode>
                <c:ptCount val="5"/>
                <c:pt idx="4">
                  <c:v>1</c:v>
                </c:pt>
              </c:numCache>
            </c:numRef>
          </c:val>
          <c:extLst>
            <c:ext xmlns:c16="http://schemas.microsoft.com/office/drawing/2014/chart" uri="{C3380CC4-5D6E-409C-BE32-E72D297353CC}">
              <c16:uniqueId val="{00000003-4587-4642-B20D-B392773C79AD}"/>
            </c:ext>
          </c:extLst>
        </c:ser>
        <c:ser>
          <c:idx val="4"/>
          <c:order val="4"/>
          <c:tx>
            <c:strRef>
              <c:f>Furniture!$F$3:$F$4</c:f>
              <c:strCache>
                <c:ptCount val="1"/>
                <c:pt idx="0">
                  <c:v>West</c:v>
                </c:pt>
              </c:strCache>
            </c:strRef>
          </c:tx>
          <c:spPr>
            <a:solidFill>
              <a:schemeClr val="accent5"/>
            </a:solidFill>
            <a:ln>
              <a:noFill/>
            </a:ln>
            <a:effectLst/>
          </c:spPr>
          <c:invertIfNegative val="0"/>
          <c:cat>
            <c:strRef>
              <c:f>Furniture!$A$5:$A$10</c:f>
              <c:strCache>
                <c:ptCount val="5"/>
                <c:pt idx="0">
                  <c:v>Delhi</c:v>
                </c:pt>
                <c:pt idx="1">
                  <c:v>Jharkhand</c:v>
                </c:pt>
                <c:pt idx="2">
                  <c:v>Madhya Pradesh</c:v>
                </c:pt>
                <c:pt idx="3">
                  <c:v>Maharashtra</c:v>
                </c:pt>
                <c:pt idx="4">
                  <c:v>Tamil Nadu</c:v>
                </c:pt>
              </c:strCache>
            </c:strRef>
          </c:cat>
          <c:val>
            <c:numRef>
              <c:f>Furniture!$F$5:$F$10</c:f>
              <c:numCache>
                <c:formatCode>General</c:formatCode>
                <c:ptCount val="5"/>
                <c:pt idx="3">
                  <c:v>17</c:v>
                </c:pt>
              </c:numCache>
            </c:numRef>
          </c:val>
          <c:extLst>
            <c:ext xmlns:c16="http://schemas.microsoft.com/office/drawing/2014/chart" uri="{C3380CC4-5D6E-409C-BE32-E72D297353CC}">
              <c16:uniqueId val="{00000004-4587-4642-B20D-B392773C79AD}"/>
            </c:ext>
          </c:extLst>
        </c:ser>
        <c:dLbls>
          <c:showLegendKey val="0"/>
          <c:showVal val="0"/>
          <c:showCatName val="0"/>
          <c:showSerName val="0"/>
          <c:showPercent val="0"/>
          <c:showBubbleSize val="0"/>
        </c:dLbls>
        <c:gapWidth val="182"/>
        <c:axId val="1931816864"/>
        <c:axId val="1931816384"/>
      </c:barChart>
      <c:catAx>
        <c:axId val="1931816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16384"/>
        <c:crosses val="autoZero"/>
        <c:auto val="1"/>
        <c:lblAlgn val="ctr"/>
        <c:lblOffset val="100"/>
        <c:noMultiLvlLbl val="0"/>
      </c:catAx>
      <c:valAx>
        <c:axId val="1931816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816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Data.xlsm]Groceries!PivotTable6</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Groceries!$B$3:$B$4</c:f>
              <c:strCache>
                <c:ptCount val="1"/>
                <c:pt idx="0">
                  <c:v>East</c:v>
                </c:pt>
              </c:strCache>
            </c:strRef>
          </c:tx>
          <c:spPr>
            <a:ln w="28575" cap="rnd">
              <a:solidFill>
                <a:schemeClr val="accent1"/>
              </a:solidFill>
              <a:round/>
            </a:ln>
            <a:effectLst/>
          </c:spPr>
          <c:marker>
            <c:symbol val="none"/>
          </c:marker>
          <c:cat>
            <c:strRef>
              <c:f>Groceries!$A$5:$A$11</c:f>
              <c:strCache>
                <c:ptCount val="6"/>
                <c:pt idx="0">
                  <c:v>Bihar</c:v>
                </c:pt>
                <c:pt idx="1">
                  <c:v>Gujarat</c:v>
                </c:pt>
                <c:pt idx="2">
                  <c:v>Karnataka</c:v>
                </c:pt>
                <c:pt idx="3">
                  <c:v>Maharashtra</c:v>
                </c:pt>
                <c:pt idx="4">
                  <c:v>Punjab</c:v>
                </c:pt>
                <c:pt idx="5">
                  <c:v>Tamil Nadu</c:v>
                </c:pt>
              </c:strCache>
            </c:strRef>
          </c:cat>
          <c:val>
            <c:numRef>
              <c:f>Groceries!$B$5:$B$11</c:f>
              <c:numCache>
                <c:formatCode>General</c:formatCode>
                <c:ptCount val="6"/>
                <c:pt idx="0">
                  <c:v>20</c:v>
                </c:pt>
              </c:numCache>
            </c:numRef>
          </c:val>
          <c:smooth val="0"/>
          <c:extLst>
            <c:ext xmlns:c16="http://schemas.microsoft.com/office/drawing/2014/chart" uri="{C3380CC4-5D6E-409C-BE32-E72D297353CC}">
              <c16:uniqueId val="{00000000-7F6F-4609-9B9B-E1098AB84845}"/>
            </c:ext>
          </c:extLst>
        </c:ser>
        <c:ser>
          <c:idx val="1"/>
          <c:order val="1"/>
          <c:tx>
            <c:strRef>
              <c:f>Groceries!$C$3:$C$4</c:f>
              <c:strCache>
                <c:ptCount val="1"/>
                <c:pt idx="0">
                  <c:v>North</c:v>
                </c:pt>
              </c:strCache>
            </c:strRef>
          </c:tx>
          <c:spPr>
            <a:ln w="28575" cap="rnd">
              <a:solidFill>
                <a:schemeClr val="accent2"/>
              </a:solidFill>
              <a:round/>
            </a:ln>
            <a:effectLst/>
          </c:spPr>
          <c:marker>
            <c:symbol val="none"/>
          </c:marker>
          <c:cat>
            <c:strRef>
              <c:f>Groceries!$A$5:$A$11</c:f>
              <c:strCache>
                <c:ptCount val="6"/>
                <c:pt idx="0">
                  <c:v>Bihar</c:v>
                </c:pt>
                <c:pt idx="1">
                  <c:v>Gujarat</c:v>
                </c:pt>
                <c:pt idx="2">
                  <c:v>Karnataka</c:v>
                </c:pt>
                <c:pt idx="3">
                  <c:v>Maharashtra</c:v>
                </c:pt>
                <c:pt idx="4">
                  <c:v>Punjab</c:v>
                </c:pt>
                <c:pt idx="5">
                  <c:v>Tamil Nadu</c:v>
                </c:pt>
              </c:strCache>
            </c:strRef>
          </c:cat>
          <c:val>
            <c:numRef>
              <c:f>Groceries!$C$5:$C$11</c:f>
              <c:numCache>
                <c:formatCode>General</c:formatCode>
                <c:ptCount val="6"/>
                <c:pt idx="4">
                  <c:v>25</c:v>
                </c:pt>
              </c:numCache>
            </c:numRef>
          </c:val>
          <c:smooth val="0"/>
          <c:extLst>
            <c:ext xmlns:c16="http://schemas.microsoft.com/office/drawing/2014/chart" uri="{C3380CC4-5D6E-409C-BE32-E72D297353CC}">
              <c16:uniqueId val="{00000001-7F6F-4609-9B9B-E1098AB84845}"/>
            </c:ext>
          </c:extLst>
        </c:ser>
        <c:ser>
          <c:idx val="2"/>
          <c:order val="2"/>
          <c:tx>
            <c:strRef>
              <c:f>Groceries!$D$3:$D$4</c:f>
              <c:strCache>
                <c:ptCount val="1"/>
                <c:pt idx="0">
                  <c:v>South</c:v>
                </c:pt>
              </c:strCache>
            </c:strRef>
          </c:tx>
          <c:spPr>
            <a:ln w="28575" cap="rnd">
              <a:solidFill>
                <a:schemeClr val="accent3"/>
              </a:solidFill>
              <a:round/>
            </a:ln>
            <a:effectLst/>
          </c:spPr>
          <c:marker>
            <c:symbol val="none"/>
          </c:marker>
          <c:cat>
            <c:strRef>
              <c:f>Groceries!$A$5:$A$11</c:f>
              <c:strCache>
                <c:ptCount val="6"/>
                <c:pt idx="0">
                  <c:v>Bihar</c:v>
                </c:pt>
                <c:pt idx="1">
                  <c:v>Gujarat</c:v>
                </c:pt>
                <c:pt idx="2">
                  <c:v>Karnataka</c:v>
                </c:pt>
                <c:pt idx="3">
                  <c:v>Maharashtra</c:v>
                </c:pt>
                <c:pt idx="4">
                  <c:v>Punjab</c:v>
                </c:pt>
                <c:pt idx="5">
                  <c:v>Tamil Nadu</c:v>
                </c:pt>
              </c:strCache>
            </c:strRef>
          </c:cat>
          <c:val>
            <c:numRef>
              <c:f>Groceries!$D$5:$D$11</c:f>
              <c:numCache>
                <c:formatCode>General</c:formatCode>
                <c:ptCount val="6"/>
                <c:pt idx="2">
                  <c:v>25</c:v>
                </c:pt>
                <c:pt idx="5">
                  <c:v>10</c:v>
                </c:pt>
              </c:numCache>
            </c:numRef>
          </c:val>
          <c:smooth val="0"/>
          <c:extLst>
            <c:ext xmlns:c16="http://schemas.microsoft.com/office/drawing/2014/chart" uri="{C3380CC4-5D6E-409C-BE32-E72D297353CC}">
              <c16:uniqueId val="{00000002-7F6F-4609-9B9B-E1098AB84845}"/>
            </c:ext>
          </c:extLst>
        </c:ser>
        <c:ser>
          <c:idx val="3"/>
          <c:order val="3"/>
          <c:tx>
            <c:strRef>
              <c:f>Groceries!$E$3:$E$4</c:f>
              <c:strCache>
                <c:ptCount val="1"/>
                <c:pt idx="0">
                  <c:v>West</c:v>
                </c:pt>
              </c:strCache>
            </c:strRef>
          </c:tx>
          <c:spPr>
            <a:ln w="28575" cap="rnd">
              <a:solidFill>
                <a:schemeClr val="accent4"/>
              </a:solidFill>
              <a:round/>
            </a:ln>
            <a:effectLst/>
          </c:spPr>
          <c:marker>
            <c:symbol val="none"/>
          </c:marker>
          <c:cat>
            <c:strRef>
              <c:f>Groceries!$A$5:$A$11</c:f>
              <c:strCache>
                <c:ptCount val="6"/>
                <c:pt idx="0">
                  <c:v>Bihar</c:v>
                </c:pt>
                <c:pt idx="1">
                  <c:v>Gujarat</c:v>
                </c:pt>
                <c:pt idx="2">
                  <c:v>Karnataka</c:v>
                </c:pt>
                <c:pt idx="3">
                  <c:v>Maharashtra</c:v>
                </c:pt>
                <c:pt idx="4">
                  <c:v>Punjab</c:v>
                </c:pt>
                <c:pt idx="5">
                  <c:v>Tamil Nadu</c:v>
                </c:pt>
              </c:strCache>
            </c:strRef>
          </c:cat>
          <c:val>
            <c:numRef>
              <c:f>Groceries!$E$5:$E$11</c:f>
              <c:numCache>
                <c:formatCode>General</c:formatCode>
                <c:ptCount val="6"/>
                <c:pt idx="1">
                  <c:v>3</c:v>
                </c:pt>
                <c:pt idx="3">
                  <c:v>17</c:v>
                </c:pt>
              </c:numCache>
            </c:numRef>
          </c:val>
          <c:smooth val="0"/>
          <c:extLst>
            <c:ext xmlns:c16="http://schemas.microsoft.com/office/drawing/2014/chart" uri="{C3380CC4-5D6E-409C-BE32-E72D297353CC}">
              <c16:uniqueId val="{00000003-7F6F-4609-9B9B-E1098AB84845}"/>
            </c:ext>
          </c:extLst>
        </c:ser>
        <c:dLbls>
          <c:showLegendKey val="0"/>
          <c:showVal val="0"/>
          <c:showCatName val="0"/>
          <c:showSerName val="0"/>
          <c:showPercent val="0"/>
          <c:showBubbleSize val="0"/>
        </c:dLbls>
        <c:smooth val="0"/>
        <c:axId val="1472687264"/>
        <c:axId val="1472683904"/>
      </c:lineChart>
      <c:catAx>
        <c:axId val="147268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2683904"/>
        <c:crosses val="autoZero"/>
        <c:auto val="1"/>
        <c:lblAlgn val="ctr"/>
        <c:lblOffset val="100"/>
        <c:noMultiLvlLbl val="0"/>
      </c:catAx>
      <c:valAx>
        <c:axId val="1472683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2687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Data.xlsm]Stationery!PivotTable5</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Stationery!$B$3:$B$4</c:f>
              <c:strCache>
                <c:ptCount val="1"/>
                <c:pt idx="0">
                  <c:v>Central</c:v>
                </c:pt>
              </c:strCache>
            </c:strRef>
          </c:tx>
          <c:spPr>
            <a:solidFill>
              <a:schemeClr val="accent1"/>
            </a:solidFill>
            <a:ln>
              <a:noFill/>
            </a:ln>
            <a:effectLst/>
            <a:sp3d/>
          </c:spPr>
          <c:invertIfNegative val="0"/>
          <c:cat>
            <c:strRef>
              <c:f>Stationery!$A$5:$A$11</c:f>
              <c:strCache>
                <c:ptCount val="6"/>
                <c:pt idx="0">
                  <c:v>Delhi</c:v>
                </c:pt>
                <c:pt idx="1">
                  <c:v>Himachal Pradesh</c:v>
                </c:pt>
                <c:pt idx="2">
                  <c:v>Karnataka</c:v>
                </c:pt>
                <c:pt idx="3">
                  <c:v>Madhya Pradesh</c:v>
                </c:pt>
                <c:pt idx="4">
                  <c:v>Rajasthan</c:v>
                </c:pt>
                <c:pt idx="5">
                  <c:v>Tamil Nadu</c:v>
                </c:pt>
              </c:strCache>
            </c:strRef>
          </c:cat>
          <c:val>
            <c:numRef>
              <c:f>Stationery!$B$5:$B$11</c:f>
              <c:numCache>
                <c:formatCode>General</c:formatCode>
                <c:ptCount val="6"/>
                <c:pt idx="3">
                  <c:v>15</c:v>
                </c:pt>
              </c:numCache>
            </c:numRef>
          </c:val>
          <c:extLst>
            <c:ext xmlns:c16="http://schemas.microsoft.com/office/drawing/2014/chart" uri="{C3380CC4-5D6E-409C-BE32-E72D297353CC}">
              <c16:uniqueId val="{00000000-ABD2-4409-9B8F-832E355FE7E4}"/>
            </c:ext>
          </c:extLst>
        </c:ser>
        <c:ser>
          <c:idx val="1"/>
          <c:order val="1"/>
          <c:tx>
            <c:strRef>
              <c:f>Stationery!$C$3:$C$4</c:f>
              <c:strCache>
                <c:ptCount val="1"/>
                <c:pt idx="0">
                  <c:v>North</c:v>
                </c:pt>
              </c:strCache>
            </c:strRef>
          </c:tx>
          <c:spPr>
            <a:solidFill>
              <a:schemeClr val="accent2"/>
            </a:solidFill>
            <a:ln>
              <a:noFill/>
            </a:ln>
            <a:effectLst/>
            <a:sp3d/>
          </c:spPr>
          <c:invertIfNegative val="0"/>
          <c:cat>
            <c:strRef>
              <c:f>Stationery!$A$5:$A$11</c:f>
              <c:strCache>
                <c:ptCount val="6"/>
                <c:pt idx="0">
                  <c:v>Delhi</c:v>
                </c:pt>
                <c:pt idx="1">
                  <c:v>Himachal Pradesh</c:v>
                </c:pt>
                <c:pt idx="2">
                  <c:v>Karnataka</c:v>
                </c:pt>
                <c:pt idx="3">
                  <c:v>Madhya Pradesh</c:v>
                </c:pt>
                <c:pt idx="4">
                  <c:v>Rajasthan</c:v>
                </c:pt>
                <c:pt idx="5">
                  <c:v>Tamil Nadu</c:v>
                </c:pt>
              </c:strCache>
            </c:strRef>
          </c:cat>
          <c:val>
            <c:numRef>
              <c:f>Stationery!$C$5:$C$11</c:f>
              <c:numCache>
                <c:formatCode>General</c:formatCode>
                <c:ptCount val="6"/>
                <c:pt idx="0">
                  <c:v>6</c:v>
                </c:pt>
                <c:pt idx="1">
                  <c:v>5</c:v>
                </c:pt>
                <c:pt idx="4">
                  <c:v>30</c:v>
                </c:pt>
              </c:numCache>
            </c:numRef>
          </c:val>
          <c:extLst>
            <c:ext xmlns:c16="http://schemas.microsoft.com/office/drawing/2014/chart" uri="{C3380CC4-5D6E-409C-BE32-E72D297353CC}">
              <c16:uniqueId val="{00000001-ABD2-4409-9B8F-832E355FE7E4}"/>
            </c:ext>
          </c:extLst>
        </c:ser>
        <c:ser>
          <c:idx val="2"/>
          <c:order val="2"/>
          <c:tx>
            <c:strRef>
              <c:f>Stationery!$D$3:$D$4</c:f>
              <c:strCache>
                <c:ptCount val="1"/>
                <c:pt idx="0">
                  <c:v>South</c:v>
                </c:pt>
              </c:strCache>
            </c:strRef>
          </c:tx>
          <c:spPr>
            <a:solidFill>
              <a:schemeClr val="accent3"/>
            </a:solidFill>
            <a:ln>
              <a:noFill/>
            </a:ln>
            <a:effectLst/>
            <a:sp3d/>
          </c:spPr>
          <c:invertIfNegative val="0"/>
          <c:cat>
            <c:strRef>
              <c:f>Stationery!$A$5:$A$11</c:f>
              <c:strCache>
                <c:ptCount val="6"/>
                <c:pt idx="0">
                  <c:v>Delhi</c:v>
                </c:pt>
                <c:pt idx="1">
                  <c:v>Himachal Pradesh</c:v>
                </c:pt>
                <c:pt idx="2">
                  <c:v>Karnataka</c:v>
                </c:pt>
                <c:pt idx="3">
                  <c:v>Madhya Pradesh</c:v>
                </c:pt>
                <c:pt idx="4">
                  <c:v>Rajasthan</c:v>
                </c:pt>
                <c:pt idx="5">
                  <c:v>Tamil Nadu</c:v>
                </c:pt>
              </c:strCache>
            </c:strRef>
          </c:cat>
          <c:val>
            <c:numRef>
              <c:f>Stationery!$D$5:$D$11</c:f>
              <c:numCache>
                <c:formatCode>General</c:formatCode>
                <c:ptCount val="6"/>
                <c:pt idx="2">
                  <c:v>11</c:v>
                </c:pt>
                <c:pt idx="5">
                  <c:v>34</c:v>
                </c:pt>
              </c:numCache>
            </c:numRef>
          </c:val>
          <c:extLst>
            <c:ext xmlns:c16="http://schemas.microsoft.com/office/drawing/2014/chart" uri="{C3380CC4-5D6E-409C-BE32-E72D297353CC}">
              <c16:uniqueId val="{00000002-ABD2-4409-9B8F-832E355FE7E4}"/>
            </c:ext>
          </c:extLst>
        </c:ser>
        <c:dLbls>
          <c:showLegendKey val="0"/>
          <c:showVal val="0"/>
          <c:showCatName val="0"/>
          <c:showSerName val="0"/>
          <c:showPercent val="0"/>
          <c:showBubbleSize val="0"/>
        </c:dLbls>
        <c:gapWidth val="150"/>
        <c:shape val="box"/>
        <c:axId val="1474166832"/>
        <c:axId val="1474167312"/>
        <c:axId val="0"/>
      </c:bar3DChart>
      <c:catAx>
        <c:axId val="1474166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167312"/>
        <c:crosses val="autoZero"/>
        <c:auto val="1"/>
        <c:lblAlgn val="ctr"/>
        <c:lblOffset val="100"/>
        <c:noMultiLvlLbl val="0"/>
      </c:catAx>
      <c:valAx>
        <c:axId val="1474167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166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Data.xlsm]Adding Slicer!PivotTable4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313757655293086"/>
          <c:y val="0.22481044036162146"/>
          <c:w val="0.47912160979877516"/>
          <c:h val="0.65890128317293672"/>
        </c:manualLayout>
      </c:layout>
      <c:barChart>
        <c:barDir val="bar"/>
        <c:grouping val="clustered"/>
        <c:varyColors val="0"/>
        <c:ser>
          <c:idx val="0"/>
          <c:order val="0"/>
          <c:tx>
            <c:strRef>
              <c:f>'Adding Slicer'!$B$3:$B$4</c:f>
              <c:strCache>
                <c:ptCount val="1"/>
                <c:pt idx="0">
                  <c:v>Central</c:v>
                </c:pt>
              </c:strCache>
            </c:strRef>
          </c:tx>
          <c:spPr>
            <a:solidFill>
              <a:schemeClr val="accent1"/>
            </a:solidFill>
            <a:ln>
              <a:noFill/>
            </a:ln>
            <a:effectLst/>
          </c:spPr>
          <c:invertIfNegative val="0"/>
          <c:cat>
            <c:strRef>
              <c:f>'Adding Slicer'!$A$5:$A$19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'Adding Slicer'!$B$5:$B$19</c:f>
              <c:numCache>
                <c:formatCode>General</c:formatCode>
                <c:ptCount val="14"/>
                <c:pt idx="7">
                  <c:v>25</c:v>
                </c:pt>
              </c:numCache>
            </c:numRef>
          </c:val>
          <c:extLst>
            <c:ext xmlns:c16="http://schemas.microsoft.com/office/drawing/2014/chart" uri="{C3380CC4-5D6E-409C-BE32-E72D297353CC}">
              <c16:uniqueId val="{00000000-17AA-4D59-91B6-AF8F13788EEB}"/>
            </c:ext>
          </c:extLst>
        </c:ser>
        <c:ser>
          <c:idx val="1"/>
          <c:order val="1"/>
          <c:tx>
            <c:strRef>
              <c:f>'Adding Slicer'!$C$3:$C$4</c:f>
              <c:strCache>
                <c:ptCount val="1"/>
                <c:pt idx="0">
                  <c:v>East</c:v>
                </c:pt>
              </c:strCache>
            </c:strRef>
          </c:tx>
          <c:spPr>
            <a:solidFill>
              <a:schemeClr val="accent2"/>
            </a:solidFill>
            <a:ln>
              <a:noFill/>
            </a:ln>
            <a:effectLst/>
          </c:spPr>
          <c:invertIfNegative val="0"/>
          <c:cat>
            <c:strRef>
              <c:f>'Adding Slicer'!$A$5:$A$19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'Adding Slicer'!$C$5:$C$19</c:f>
              <c:numCache>
                <c:formatCode>General</c:formatCode>
                <c:ptCount val="14"/>
                <c:pt idx="0">
                  <c:v>20</c:v>
                </c:pt>
                <c:pt idx="5">
                  <c:v>5</c:v>
                </c:pt>
                <c:pt idx="13">
                  <c:v>7</c:v>
                </c:pt>
              </c:numCache>
            </c:numRef>
          </c:val>
          <c:extLst>
            <c:ext xmlns:c16="http://schemas.microsoft.com/office/drawing/2014/chart" uri="{C3380CC4-5D6E-409C-BE32-E72D297353CC}">
              <c16:uniqueId val="{00000005-AFF6-4018-A2CD-41752ABA9F8B}"/>
            </c:ext>
          </c:extLst>
        </c:ser>
        <c:ser>
          <c:idx val="2"/>
          <c:order val="2"/>
          <c:tx>
            <c:strRef>
              <c:f>'Adding Slicer'!$D$3:$D$4</c:f>
              <c:strCache>
                <c:ptCount val="1"/>
                <c:pt idx="0">
                  <c:v>North</c:v>
                </c:pt>
              </c:strCache>
            </c:strRef>
          </c:tx>
          <c:spPr>
            <a:solidFill>
              <a:schemeClr val="accent3"/>
            </a:solidFill>
            <a:ln>
              <a:noFill/>
            </a:ln>
            <a:effectLst/>
          </c:spPr>
          <c:invertIfNegative val="0"/>
          <c:cat>
            <c:strRef>
              <c:f>'Adding Slicer'!$A$5:$A$19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'Adding Slicer'!$D$5:$D$19</c:f>
              <c:numCache>
                <c:formatCode>General</c:formatCode>
                <c:ptCount val="14"/>
                <c:pt idx="1">
                  <c:v>9</c:v>
                </c:pt>
                <c:pt idx="4">
                  <c:v>5</c:v>
                </c:pt>
                <c:pt idx="9">
                  <c:v>25</c:v>
                </c:pt>
                <c:pt idx="10">
                  <c:v>30</c:v>
                </c:pt>
                <c:pt idx="12">
                  <c:v>10</c:v>
                </c:pt>
              </c:numCache>
            </c:numRef>
          </c:val>
          <c:extLst>
            <c:ext xmlns:c16="http://schemas.microsoft.com/office/drawing/2014/chart" uri="{C3380CC4-5D6E-409C-BE32-E72D297353CC}">
              <c16:uniqueId val="{00000006-AFF6-4018-A2CD-41752ABA9F8B}"/>
            </c:ext>
          </c:extLst>
        </c:ser>
        <c:ser>
          <c:idx val="3"/>
          <c:order val="3"/>
          <c:tx>
            <c:strRef>
              <c:f>'Adding Slicer'!$E$3:$E$4</c:f>
              <c:strCache>
                <c:ptCount val="1"/>
                <c:pt idx="0">
                  <c:v>South</c:v>
                </c:pt>
              </c:strCache>
            </c:strRef>
          </c:tx>
          <c:spPr>
            <a:solidFill>
              <a:schemeClr val="accent4"/>
            </a:solidFill>
            <a:ln>
              <a:noFill/>
            </a:ln>
            <a:effectLst/>
          </c:spPr>
          <c:invertIfNegative val="0"/>
          <c:cat>
            <c:strRef>
              <c:f>'Adding Slicer'!$A$5:$A$19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'Adding Slicer'!$E$5:$E$19</c:f>
              <c:numCache>
                <c:formatCode>General</c:formatCode>
                <c:ptCount val="14"/>
                <c:pt idx="6">
                  <c:v>53</c:v>
                </c:pt>
                <c:pt idx="11">
                  <c:v>50</c:v>
                </c:pt>
              </c:numCache>
            </c:numRef>
          </c:val>
          <c:extLst>
            <c:ext xmlns:c16="http://schemas.microsoft.com/office/drawing/2014/chart" uri="{C3380CC4-5D6E-409C-BE32-E72D297353CC}">
              <c16:uniqueId val="{00000007-AFF6-4018-A2CD-41752ABA9F8B}"/>
            </c:ext>
          </c:extLst>
        </c:ser>
        <c:ser>
          <c:idx val="4"/>
          <c:order val="4"/>
          <c:tx>
            <c:strRef>
              <c:f>'Adding Slicer'!$F$3:$F$4</c:f>
              <c:strCache>
                <c:ptCount val="1"/>
                <c:pt idx="0">
                  <c:v>West</c:v>
                </c:pt>
              </c:strCache>
            </c:strRef>
          </c:tx>
          <c:spPr>
            <a:solidFill>
              <a:schemeClr val="accent5"/>
            </a:solidFill>
            <a:ln>
              <a:noFill/>
            </a:ln>
            <a:effectLst/>
          </c:spPr>
          <c:invertIfNegative val="0"/>
          <c:cat>
            <c:strRef>
              <c:f>'Adding Slicer'!$A$5:$A$19</c:f>
              <c:strCache>
                <c:ptCount val="14"/>
                <c:pt idx="0">
                  <c:v>Bihar</c:v>
                </c:pt>
                <c:pt idx="1">
                  <c:v>Delhi</c:v>
                </c:pt>
                <c:pt idx="2">
                  <c:v>Goa</c:v>
                </c:pt>
                <c:pt idx="3">
                  <c:v>Gujarat</c:v>
                </c:pt>
                <c:pt idx="4">
                  <c:v>Himachal Pradesh</c:v>
                </c:pt>
                <c:pt idx="5">
                  <c:v>Jharkhand</c:v>
                </c:pt>
                <c:pt idx="6">
                  <c:v>Karnataka</c:v>
                </c:pt>
                <c:pt idx="7">
                  <c:v>Madhya Pradesh</c:v>
                </c:pt>
                <c:pt idx="8">
                  <c:v>Maharashtra</c:v>
                </c:pt>
                <c:pt idx="9">
                  <c:v>Punjab</c:v>
                </c:pt>
                <c:pt idx="10">
                  <c:v>Rajasthan</c:v>
                </c:pt>
                <c:pt idx="11">
                  <c:v>Tamil Nadu</c:v>
                </c:pt>
                <c:pt idx="12">
                  <c:v>Uttar Pradesh</c:v>
                </c:pt>
                <c:pt idx="13">
                  <c:v>West Bengal</c:v>
                </c:pt>
              </c:strCache>
            </c:strRef>
          </c:cat>
          <c:val>
            <c:numRef>
              <c:f>'Adding Slicer'!$F$5:$F$19</c:f>
              <c:numCache>
                <c:formatCode>General</c:formatCode>
                <c:ptCount val="14"/>
                <c:pt idx="2">
                  <c:v>7</c:v>
                </c:pt>
                <c:pt idx="3">
                  <c:v>60</c:v>
                </c:pt>
                <c:pt idx="8">
                  <c:v>67</c:v>
                </c:pt>
              </c:numCache>
            </c:numRef>
          </c:val>
          <c:extLst>
            <c:ext xmlns:c16="http://schemas.microsoft.com/office/drawing/2014/chart" uri="{C3380CC4-5D6E-409C-BE32-E72D297353CC}">
              <c16:uniqueId val="{00000008-AFF6-4018-A2CD-41752ABA9F8B}"/>
            </c:ext>
          </c:extLst>
        </c:ser>
        <c:dLbls>
          <c:showLegendKey val="0"/>
          <c:showVal val="0"/>
          <c:showCatName val="0"/>
          <c:showSerName val="0"/>
          <c:showPercent val="0"/>
          <c:showBubbleSize val="0"/>
        </c:dLbls>
        <c:gapWidth val="182"/>
        <c:axId val="1935310528"/>
        <c:axId val="1935306688"/>
      </c:barChart>
      <c:catAx>
        <c:axId val="193531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306688"/>
        <c:crosses val="autoZero"/>
        <c:auto val="1"/>
        <c:lblAlgn val="ctr"/>
        <c:lblOffset val="100"/>
        <c:noMultiLvlLbl val="0"/>
      </c:catAx>
      <c:valAx>
        <c:axId val="1935306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5310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Data.xlsm]DASHBOARD!PivotTable1</c:name>
    <c:fmtId val="0"/>
  </c:pivotSource>
  <c:chart>
    <c:autoTitleDeleted val="1"/>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0.5674293589870304"/>
          <c:y val="5.4320987654320987E-2"/>
          <c:w val="0.4325706410129696"/>
          <c:h val="0.89135802469135805"/>
        </c:manualLayout>
      </c:layout>
      <c:barChart>
        <c:barDir val="bar"/>
        <c:grouping val="clustered"/>
        <c:varyColors val="0"/>
        <c:ser>
          <c:idx val="0"/>
          <c:order val="0"/>
          <c:tx>
            <c:strRef>
              <c:f>DASHBOARD!$B$3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DASHBOARD!$A$4:$A$9</c:f>
              <c:strCache>
                <c:ptCount val="5"/>
                <c:pt idx="0">
                  <c:v>Anita Kumari</c:v>
                </c:pt>
                <c:pt idx="1">
                  <c:v>Ajay Chauhan</c:v>
                </c:pt>
                <c:pt idx="2">
                  <c:v>Kavita Sinha</c:v>
                </c:pt>
                <c:pt idx="3">
                  <c:v>Sonaram Munda</c:v>
                </c:pt>
                <c:pt idx="4">
                  <c:v>Tanuja Kale</c:v>
                </c:pt>
              </c:strCache>
            </c:strRef>
          </c:cat>
          <c:val>
            <c:numRef>
              <c:f>DASHBOARD!$B$4:$B$9</c:f>
              <c:numCache>
                <c:formatCode>General</c:formatCode>
                <c:ptCount val="5"/>
                <c:pt idx="0">
                  <c:v>426</c:v>
                </c:pt>
                <c:pt idx="1">
                  <c:v>321</c:v>
                </c:pt>
                <c:pt idx="2">
                  <c:v>313</c:v>
                </c:pt>
                <c:pt idx="3">
                  <c:v>291</c:v>
                </c:pt>
                <c:pt idx="4">
                  <c:v>287</c:v>
                </c:pt>
              </c:numCache>
            </c:numRef>
          </c:val>
          <c:extLst>
            <c:ext xmlns:c16="http://schemas.microsoft.com/office/drawing/2014/chart" uri="{C3380CC4-5D6E-409C-BE32-E72D297353CC}">
              <c16:uniqueId val="{00000000-05E3-4797-A5B3-C20EFB2683C7}"/>
            </c:ext>
          </c:extLst>
        </c:ser>
        <c:dLbls>
          <c:showLegendKey val="0"/>
          <c:showVal val="0"/>
          <c:showCatName val="0"/>
          <c:showSerName val="0"/>
          <c:showPercent val="0"/>
          <c:showBubbleSize val="0"/>
        </c:dLbls>
        <c:gapWidth val="326"/>
        <c:overlap val="-58"/>
        <c:axId val="23473520"/>
        <c:axId val="23475920"/>
      </c:barChart>
      <c:catAx>
        <c:axId val="23473520"/>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75920"/>
        <c:crosses val="autoZero"/>
        <c:auto val="1"/>
        <c:lblAlgn val="ctr"/>
        <c:lblOffset val="100"/>
        <c:noMultiLvlLbl val="0"/>
      </c:catAx>
      <c:valAx>
        <c:axId val="23475920"/>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73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526233001362635"/>
          <c:y val="0.11673151750972763"/>
          <c:w val="0.69085845976570004"/>
          <c:h val="0.48704872494051077"/>
        </c:manualLayout>
      </c:layout>
      <c:barChart>
        <c:barDir val="col"/>
        <c:grouping val="clustered"/>
        <c:varyColors val="0"/>
        <c:ser>
          <c:idx val="0"/>
          <c:order val="0"/>
          <c:tx>
            <c:strRef>
              <c:f>DASHBOARD!$H$3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DASHBOARD!$G$4:$G$9</c:f>
              <c:strCache>
                <c:ptCount val="5"/>
                <c:pt idx="0">
                  <c:v>Anita Kumari</c:v>
                </c:pt>
                <c:pt idx="1">
                  <c:v>Ajay Chauhan</c:v>
                </c:pt>
                <c:pt idx="2">
                  <c:v>Kavita Sinha</c:v>
                </c:pt>
                <c:pt idx="3">
                  <c:v>Sonaram Munda</c:v>
                </c:pt>
                <c:pt idx="4">
                  <c:v>Tanuja Kale</c:v>
                </c:pt>
              </c:strCache>
            </c:strRef>
          </c:cat>
          <c:val>
            <c:numRef>
              <c:f>DASHBOARD!$H$4:$H$9</c:f>
              <c:numCache>
                <c:formatCode>0.00%</c:formatCode>
                <c:ptCount val="5"/>
                <c:pt idx="0">
                  <c:v>0.85199999999999998</c:v>
                </c:pt>
                <c:pt idx="1">
                  <c:v>0.64200000000000002</c:v>
                </c:pt>
                <c:pt idx="2">
                  <c:v>0.626</c:v>
                </c:pt>
                <c:pt idx="3">
                  <c:v>0.58199999999999996</c:v>
                </c:pt>
                <c:pt idx="4">
                  <c:v>0.57399999999999995</c:v>
                </c:pt>
              </c:numCache>
            </c:numRef>
          </c:val>
          <c:extLst>
            <c:ext xmlns:c16="http://schemas.microsoft.com/office/drawing/2014/chart" uri="{C3380CC4-5D6E-409C-BE32-E72D297353CC}">
              <c16:uniqueId val="{00000000-41F0-41C2-BE1E-43F827C7DF8A}"/>
            </c:ext>
          </c:extLst>
        </c:ser>
        <c:dLbls>
          <c:dLblPos val="inEnd"/>
          <c:showLegendKey val="0"/>
          <c:showVal val="1"/>
          <c:showCatName val="0"/>
          <c:showSerName val="0"/>
          <c:showPercent val="0"/>
          <c:showBubbleSize val="0"/>
        </c:dLbls>
        <c:gapWidth val="100"/>
        <c:overlap val="-24"/>
        <c:axId val="186673200"/>
        <c:axId val="22692464"/>
      </c:barChart>
      <c:catAx>
        <c:axId val="1866732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692464"/>
        <c:crosses val="autoZero"/>
        <c:auto val="1"/>
        <c:lblAlgn val="ctr"/>
        <c:lblOffset val="100"/>
        <c:noMultiLvlLbl val="0"/>
      </c:catAx>
      <c:valAx>
        <c:axId val="2269246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66732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Data.xlsm]DASHBOARD!PivotTable4</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DASHBOARD!$K$3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D9FA-44F6-A300-EA5D3C2417B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D9FA-44F6-A300-EA5D3C2417B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D9FA-44F6-A300-EA5D3C2417B5}"/>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D9FA-44F6-A300-EA5D3C2417B5}"/>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D9FA-44F6-A300-EA5D3C2417B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DASHBOARD!$J$4:$J$9</c:f>
              <c:strCache>
                <c:ptCount val="5"/>
                <c:pt idx="0">
                  <c:v>Ajay Chauhan</c:v>
                </c:pt>
                <c:pt idx="1">
                  <c:v>Kavita Sinha</c:v>
                </c:pt>
                <c:pt idx="2">
                  <c:v>Sonaram Munda</c:v>
                </c:pt>
                <c:pt idx="3">
                  <c:v>Sushma Khandelwal</c:v>
                </c:pt>
                <c:pt idx="4">
                  <c:v>Tanuja Kale</c:v>
                </c:pt>
              </c:strCache>
            </c:strRef>
          </c:cat>
          <c:val>
            <c:numRef>
              <c:f>DASHBOARD!$K$4:$K$9</c:f>
              <c:numCache>
                <c:formatCode>0.00%</c:formatCode>
                <c:ptCount val="5"/>
                <c:pt idx="0">
                  <c:v>0.35799999999999998</c:v>
                </c:pt>
                <c:pt idx="1">
                  <c:v>0.374</c:v>
                </c:pt>
                <c:pt idx="2">
                  <c:v>0.41799999999999998</c:v>
                </c:pt>
                <c:pt idx="3">
                  <c:v>0.64200000000000002</c:v>
                </c:pt>
                <c:pt idx="4">
                  <c:v>0.42599999999999999</c:v>
                </c:pt>
              </c:numCache>
            </c:numRef>
          </c:val>
          <c:extLst>
            <c:ext xmlns:c16="http://schemas.microsoft.com/office/drawing/2014/chart" uri="{C3380CC4-5D6E-409C-BE32-E72D297353CC}">
              <c16:uniqueId val="{00000000-D6FD-47D4-9B86-4DDEA660895B}"/>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 Data.xlsm]DASHBOARD!PivotTable2</c:name>
    <c:fmtId val="1"/>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DASHBOARD!$E$3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DASHBOARD!$D$4:$D$9</c:f>
              <c:strCache>
                <c:ptCount val="5"/>
                <c:pt idx="0">
                  <c:v>Ajay Chauhan</c:v>
                </c:pt>
                <c:pt idx="1">
                  <c:v>Kavita Sinha</c:v>
                </c:pt>
                <c:pt idx="2">
                  <c:v>Sonaram Munda</c:v>
                </c:pt>
                <c:pt idx="3">
                  <c:v>Tanuja Kale</c:v>
                </c:pt>
                <c:pt idx="4">
                  <c:v>Sushma Khandelwal</c:v>
                </c:pt>
              </c:strCache>
            </c:strRef>
          </c:cat>
          <c:val>
            <c:numRef>
              <c:f>DASHBOARD!$E$4:$E$9</c:f>
              <c:numCache>
                <c:formatCode>General</c:formatCode>
                <c:ptCount val="5"/>
                <c:pt idx="0">
                  <c:v>321</c:v>
                </c:pt>
                <c:pt idx="1">
                  <c:v>313</c:v>
                </c:pt>
                <c:pt idx="2">
                  <c:v>291</c:v>
                </c:pt>
                <c:pt idx="3">
                  <c:v>287</c:v>
                </c:pt>
                <c:pt idx="4">
                  <c:v>179</c:v>
                </c:pt>
              </c:numCache>
            </c:numRef>
          </c:val>
          <c:smooth val="0"/>
          <c:extLst>
            <c:ext xmlns:c16="http://schemas.microsoft.com/office/drawing/2014/chart" uri="{C3380CC4-5D6E-409C-BE32-E72D297353CC}">
              <c16:uniqueId val="{00000000-CBA1-40A7-9802-E267D9C586E6}"/>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680112864"/>
        <c:axId val="1680113344"/>
      </c:lineChart>
      <c:catAx>
        <c:axId val="168011286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680113344"/>
        <c:crosses val="autoZero"/>
        <c:auto val="1"/>
        <c:lblAlgn val="ctr"/>
        <c:lblOffset val="100"/>
        <c:noMultiLvlLbl val="0"/>
      </c:catAx>
      <c:valAx>
        <c:axId val="16801133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680112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checked="Checked" fmlaLink="$D:$D" lockText="1" noThreeD="1"/>
</file>

<file path=xl/ctrlProps/ctrlProp3.xml><?xml version="1.0" encoding="utf-8"?>
<formControlPr xmlns="http://schemas.microsoft.com/office/spreadsheetml/2009/9/main" objectType="CheckBox" checked="Checked" fmlaLink="$J:$J" lockText="1" noThreeD="1"/>
</file>

<file path=xl/ctrlProps/ctrlProp4.xml><?xml version="1.0" encoding="utf-8"?>
<formControlPr xmlns="http://schemas.microsoft.com/office/spreadsheetml/2009/9/main" objectType="CheckBox" checked="Checked" fmlaLink="$G:$G"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3</xdr:col>
      <xdr:colOff>381000</xdr:colOff>
      <xdr:row>1</xdr:row>
      <xdr:rowOff>76200</xdr:rowOff>
    </xdr:from>
    <xdr:to>
      <xdr:col>10</xdr:col>
      <xdr:colOff>91440</xdr:colOff>
      <xdr:row>9</xdr:row>
      <xdr:rowOff>137160</xdr:rowOff>
    </xdr:to>
    <mc:AlternateContent xmlns:mc="http://schemas.openxmlformats.org/markup-compatibility/2006" xmlns:tsle="http://schemas.microsoft.com/office/drawing/2012/timeslicer">
      <mc:Choice Requires="tsle">
        <xdr:graphicFrame macro="">
          <xdr:nvGraphicFramePr>
            <xdr:cNvPr id="6" name="Sale Date">
              <a:extLst>
                <a:ext uri="{FF2B5EF4-FFF2-40B4-BE49-F238E27FC236}">
                  <a16:creationId xmlns:a16="http://schemas.microsoft.com/office/drawing/2014/main" id="{3FCACF5A-3F35-F91C-9F07-A02F1B7E7799}"/>
                </a:ext>
              </a:extLst>
            </xdr:cNvPr>
            <xdr:cNvGraphicFramePr/>
          </xdr:nvGraphicFramePr>
          <xdr:xfrm>
            <a:off x="0" y="0"/>
            <a:ext cx="0" cy="0"/>
          </xdr:xfrm>
          <a:graphic>
            <a:graphicData uri="http://schemas.microsoft.com/office/drawing/2012/timeslicer">
              <tsle:timeslicer name="Sale Date"/>
            </a:graphicData>
          </a:graphic>
        </xdr:graphicFrame>
      </mc:Choice>
      <mc:Fallback xmlns="">
        <xdr:sp macro="" textlink="">
          <xdr:nvSpPr>
            <xdr:cNvPr id="0" name=""/>
            <xdr:cNvSpPr>
              <a:spLocks noTextEdit="1"/>
            </xdr:cNvSpPr>
          </xdr:nvSpPr>
          <xdr:spPr>
            <a:xfrm>
              <a:off x="2819400" y="259080"/>
              <a:ext cx="3977640" cy="15240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419100</xdr:colOff>
      <xdr:row>2</xdr:row>
      <xdr:rowOff>102870</xdr:rowOff>
    </xdr:from>
    <xdr:to>
      <xdr:col>15</xdr:col>
      <xdr:colOff>114300</xdr:colOff>
      <xdr:row>17</xdr:row>
      <xdr:rowOff>102870</xdr:rowOff>
    </xdr:to>
    <xdr:graphicFrame macro="">
      <xdr:nvGraphicFramePr>
        <xdr:cNvPr id="2" name="Chart 1">
          <a:extLst>
            <a:ext uri="{FF2B5EF4-FFF2-40B4-BE49-F238E27FC236}">
              <a16:creationId xmlns:a16="http://schemas.microsoft.com/office/drawing/2014/main" id="{EB9B9A7B-FB3D-AAC4-DC29-0AB8A0B64A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xdr:colOff>
      <xdr:row>0</xdr:row>
      <xdr:rowOff>87630</xdr:rowOff>
    </xdr:from>
    <xdr:to>
      <xdr:col>13</xdr:col>
      <xdr:colOff>327660</xdr:colOff>
      <xdr:row>15</xdr:row>
      <xdr:rowOff>87630</xdr:rowOff>
    </xdr:to>
    <xdr:graphicFrame macro="">
      <xdr:nvGraphicFramePr>
        <xdr:cNvPr id="3" name="Chart 2">
          <a:extLst>
            <a:ext uri="{FF2B5EF4-FFF2-40B4-BE49-F238E27FC236}">
              <a16:creationId xmlns:a16="http://schemas.microsoft.com/office/drawing/2014/main" id="{A5CA94B2-4891-D9B9-2484-5056D1636C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327660</xdr:colOff>
      <xdr:row>0</xdr:row>
      <xdr:rowOff>0</xdr:rowOff>
    </xdr:from>
    <xdr:to>
      <xdr:col>13</xdr:col>
      <xdr:colOff>434340</xdr:colOff>
      <xdr:row>12</xdr:row>
      <xdr:rowOff>144780</xdr:rowOff>
    </xdr:to>
    <xdr:graphicFrame macro="">
      <xdr:nvGraphicFramePr>
        <xdr:cNvPr id="2" name="Chart 1">
          <a:extLst>
            <a:ext uri="{FF2B5EF4-FFF2-40B4-BE49-F238E27FC236}">
              <a16:creationId xmlns:a16="http://schemas.microsoft.com/office/drawing/2014/main" id="{89D4BF99-B065-92BB-07D0-64AE2B86E2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495300</xdr:colOff>
      <xdr:row>0</xdr:row>
      <xdr:rowOff>64770</xdr:rowOff>
    </xdr:from>
    <xdr:to>
      <xdr:col>15</xdr:col>
      <xdr:colOff>190500</xdr:colOff>
      <xdr:row>15</xdr:row>
      <xdr:rowOff>64770</xdr:rowOff>
    </xdr:to>
    <xdr:graphicFrame macro="">
      <xdr:nvGraphicFramePr>
        <xdr:cNvPr id="2" name="Chart 1">
          <a:extLst>
            <a:ext uri="{FF2B5EF4-FFF2-40B4-BE49-F238E27FC236}">
              <a16:creationId xmlns:a16="http://schemas.microsoft.com/office/drawing/2014/main" id="{F5CB7F2D-5BC9-7684-ABDA-C72D9180B7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449580</xdr:colOff>
      <xdr:row>1</xdr:row>
      <xdr:rowOff>26670</xdr:rowOff>
    </xdr:from>
    <xdr:to>
      <xdr:col>14</xdr:col>
      <xdr:colOff>144780</xdr:colOff>
      <xdr:row>16</xdr:row>
      <xdr:rowOff>26670</xdr:rowOff>
    </xdr:to>
    <xdr:graphicFrame macro="">
      <xdr:nvGraphicFramePr>
        <xdr:cNvPr id="2" name="Chart 1">
          <a:extLst>
            <a:ext uri="{FF2B5EF4-FFF2-40B4-BE49-F238E27FC236}">
              <a16:creationId xmlns:a16="http://schemas.microsoft.com/office/drawing/2014/main" id="{690BF945-346D-E86D-FE70-5D634C79DD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83820</xdr:colOff>
      <xdr:row>0</xdr:row>
      <xdr:rowOff>11430</xdr:rowOff>
    </xdr:from>
    <xdr:to>
      <xdr:col>13</xdr:col>
      <xdr:colOff>388620</xdr:colOff>
      <xdr:row>15</xdr:row>
      <xdr:rowOff>11430</xdr:rowOff>
    </xdr:to>
    <xdr:graphicFrame macro="">
      <xdr:nvGraphicFramePr>
        <xdr:cNvPr id="2" name="Chart 1">
          <a:extLst>
            <a:ext uri="{FF2B5EF4-FFF2-40B4-BE49-F238E27FC236}">
              <a16:creationId xmlns:a16="http://schemas.microsoft.com/office/drawing/2014/main" id="{D605A96C-29B8-973B-EDA0-2F7AECA9B3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342900</xdr:colOff>
      <xdr:row>2</xdr:row>
      <xdr:rowOff>34290</xdr:rowOff>
    </xdr:from>
    <xdr:to>
      <xdr:col>16</xdr:col>
      <xdr:colOff>213360</xdr:colOff>
      <xdr:row>17</xdr:row>
      <xdr:rowOff>34290</xdr:rowOff>
    </xdr:to>
    <xdr:graphicFrame macro="">
      <xdr:nvGraphicFramePr>
        <xdr:cNvPr id="2" name="Chart 1">
          <a:extLst>
            <a:ext uri="{FF2B5EF4-FFF2-40B4-BE49-F238E27FC236}">
              <a16:creationId xmlns:a16="http://schemas.microsoft.com/office/drawing/2014/main" id="{6E1639B5-BAAA-81BF-8EB9-2BF15F5BD2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114300</xdr:colOff>
      <xdr:row>7</xdr:row>
      <xdr:rowOff>15240</xdr:rowOff>
    </xdr:from>
    <xdr:to>
      <xdr:col>20</xdr:col>
      <xdr:colOff>114300</xdr:colOff>
      <xdr:row>21</xdr:row>
      <xdr:rowOff>36195</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B425A04C-ADFC-E4CA-0B50-7FABC89592E5}"/>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546080" y="12954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8</xdr:row>
      <xdr:rowOff>15240</xdr:rowOff>
    </xdr:from>
    <xdr:to>
      <xdr:col>2</xdr:col>
      <xdr:colOff>60960</xdr:colOff>
      <xdr:row>19</xdr:row>
      <xdr:rowOff>22860</xdr:rowOff>
    </xdr:to>
    <xdr:graphicFrame macro="">
      <xdr:nvGraphicFramePr>
        <xdr:cNvPr id="2" name="Chart 1">
          <a:extLst>
            <a:ext uri="{FF2B5EF4-FFF2-40B4-BE49-F238E27FC236}">
              <a16:creationId xmlns:a16="http://schemas.microsoft.com/office/drawing/2014/main" id="{6DAA45C8-36B6-BDF2-F806-999EF2C051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30480</xdr:colOff>
      <xdr:row>7</xdr:row>
      <xdr:rowOff>175260</xdr:rowOff>
    </xdr:from>
    <xdr:to>
      <xdr:col>8</xdr:col>
      <xdr:colOff>60960</xdr:colOff>
      <xdr:row>19</xdr:row>
      <xdr:rowOff>30480</xdr:rowOff>
    </xdr:to>
    <xdr:graphicFrame macro="">
      <xdr:nvGraphicFramePr>
        <xdr:cNvPr id="3" name="Chart 2">
          <a:extLst>
            <a:ext uri="{FF2B5EF4-FFF2-40B4-BE49-F238E27FC236}">
              <a16:creationId xmlns:a16="http://schemas.microsoft.com/office/drawing/2014/main" id="{FA8A6FE9-E82D-044B-6521-1A6A9738D8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68580</xdr:colOff>
      <xdr:row>8</xdr:row>
      <xdr:rowOff>15240</xdr:rowOff>
    </xdr:from>
    <xdr:to>
      <xdr:col>11</xdr:col>
      <xdr:colOff>0</xdr:colOff>
      <xdr:row>19</xdr:row>
      <xdr:rowOff>45720</xdr:rowOff>
    </xdr:to>
    <xdr:graphicFrame macro="">
      <xdr:nvGraphicFramePr>
        <xdr:cNvPr id="4" name="Chart 3">
          <a:extLst>
            <a:ext uri="{FF2B5EF4-FFF2-40B4-BE49-F238E27FC236}">
              <a16:creationId xmlns:a16="http://schemas.microsoft.com/office/drawing/2014/main" id="{9EC046B4-942B-220F-2831-3E630266FA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7620</xdr:colOff>
      <xdr:row>1</xdr:row>
      <xdr:rowOff>76200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6E9429F0-CBF0-9A25-F67F-04C9E75460D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778240" cy="480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68580</xdr:colOff>
      <xdr:row>7</xdr:row>
      <xdr:rowOff>167640</xdr:rowOff>
    </xdr:from>
    <xdr:to>
      <xdr:col>5</xdr:col>
      <xdr:colOff>38100</xdr:colOff>
      <xdr:row>19</xdr:row>
      <xdr:rowOff>30480</xdr:rowOff>
    </xdr:to>
    <xdr:graphicFrame macro="">
      <xdr:nvGraphicFramePr>
        <xdr:cNvPr id="7" name="Chart 6">
          <a:extLst>
            <a:ext uri="{FF2B5EF4-FFF2-40B4-BE49-F238E27FC236}">
              <a16:creationId xmlns:a16="http://schemas.microsoft.com/office/drawing/2014/main" id="{6F7FBCF9-9AC1-7E46-4D97-96069241E5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30480</xdr:colOff>
      <xdr:row>1</xdr:row>
      <xdr:rowOff>22860</xdr:rowOff>
    </xdr:from>
    <xdr:to>
      <xdr:col>1</xdr:col>
      <xdr:colOff>68580</xdr:colOff>
      <xdr:row>1</xdr:row>
      <xdr:rowOff>342900</xdr:rowOff>
    </xdr:to>
    <xdr:sp macro="" textlink="">
      <xdr:nvSpPr>
        <xdr:cNvPr id="8" name="Speech Bubble: Rectangle 7">
          <a:extLst>
            <a:ext uri="{FF2B5EF4-FFF2-40B4-BE49-F238E27FC236}">
              <a16:creationId xmlns:a16="http://schemas.microsoft.com/office/drawing/2014/main" id="{FBF649DC-2AA0-7B46-6C6E-2F607B0E8481}"/>
            </a:ext>
          </a:extLst>
        </xdr:cNvPr>
        <xdr:cNvSpPr/>
      </xdr:nvSpPr>
      <xdr:spPr>
        <a:xfrm>
          <a:off x="30480" y="426720"/>
          <a:ext cx="1051560" cy="320040"/>
        </a:xfrm>
        <a:prstGeom prst="wedgeRectCallou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464820</xdr:colOff>
      <xdr:row>0</xdr:row>
      <xdr:rowOff>396240</xdr:rowOff>
    </xdr:from>
    <xdr:to>
      <xdr:col>4</xdr:col>
      <xdr:colOff>320040</xdr:colOff>
      <xdr:row>1</xdr:row>
      <xdr:rowOff>327660</xdr:rowOff>
    </xdr:to>
    <xdr:sp macro="" textlink="">
      <xdr:nvSpPr>
        <xdr:cNvPr id="9" name="Speech Bubble: Rectangle 8">
          <a:extLst>
            <a:ext uri="{FF2B5EF4-FFF2-40B4-BE49-F238E27FC236}">
              <a16:creationId xmlns:a16="http://schemas.microsoft.com/office/drawing/2014/main" id="{D4EE3E73-A905-449F-9AB9-1019FC97C057}"/>
            </a:ext>
          </a:extLst>
        </xdr:cNvPr>
        <xdr:cNvSpPr/>
      </xdr:nvSpPr>
      <xdr:spPr>
        <a:xfrm>
          <a:off x="2278380" y="396240"/>
          <a:ext cx="1028700" cy="335280"/>
        </a:xfrm>
        <a:prstGeom prst="wedgeRectCallou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601980</xdr:colOff>
      <xdr:row>0</xdr:row>
      <xdr:rowOff>396240</xdr:rowOff>
    </xdr:from>
    <xdr:to>
      <xdr:col>7</xdr:col>
      <xdr:colOff>647700</xdr:colOff>
      <xdr:row>1</xdr:row>
      <xdr:rowOff>358140</xdr:rowOff>
    </xdr:to>
    <xdr:sp macro="" textlink="">
      <xdr:nvSpPr>
        <xdr:cNvPr id="10" name="Speech Bubble: Rectangle 9">
          <a:extLst>
            <a:ext uri="{FF2B5EF4-FFF2-40B4-BE49-F238E27FC236}">
              <a16:creationId xmlns:a16="http://schemas.microsoft.com/office/drawing/2014/main" id="{997FE24B-0E55-4120-BECF-93D87ACE1B7E}"/>
            </a:ext>
          </a:extLst>
        </xdr:cNvPr>
        <xdr:cNvSpPr/>
      </xdr:nvSpPr>
      <xdr:spPr>
        <a:xfrm>
          <a:off x="4396740" y="396240"/>
          <a:ext cx="1066800" cy="365760"/>
        </a:xfrm>
        <a:prstGeom prst="wedgeRectCallou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891540</xdr:colOff>
      <xdr:row>0</xdr:row>
      <xdr:rowOff>381000</xdr:rowOff>
    </xdr:from>
    <xdr:to>
      <xdr:col>10</xdr:col>
      <xdr:colOff>830580</xdr:colOff>
      <xdr:row>1</xdr:row>
      <xdr:rowOff>350520</xdr:rowOff>
    </xdr:to>
    <xdr:sp macro="" textlink="">
      <xdr:nvSpPr>
        <xdr:cNvPr id="11" name="Speech Bubble: Rectangle 10">
          <a:extLst>
            <a:ext uri="{FF2B5EF4-FFF2-40B4-BE49-F238E27FC236}">
              <a16:creationId xmlns:a16="http://schemas.microsoft.com/office/drawing/2014/main" id="{86D24A1D-BC47-4B4C-9B8C-3FF3E1F07706}"/>
            </a:ext>
          </a:extLst>
        </xdr:cNvPr>
        <xdr:cNvSpPr/>
      </xdr:nvSpPr>
      <xdr:spPr>
        <a:xfrm>
          <a:off x="6850380" y="381000"/>
          <a:ext cx="1165860" cy="373380"/>
        </a:xfrm>
        <a:prstGeom prst="wedgeRectCallou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236220</xdr:colOff>
          <xdr:row>1</xdr:row>
          <xdr:rowOff>137160</xdr:rowOff>
        </xdr:from>
        <xdr:to>
          <xdr:col>0</xdr:col>
          <xdr:colOff>975360</xdr:colOff>
          <xdr:row>1</xdr:row>
          <xdr:rowOff>350520</xdr:rowOff>
        </xdr:to>
        <xdr:sp macro="" textlink="">
          <xdr:nvSpPr>
            <xdr:cNvPr id="36865" name="Check Box 1" hidden="1">
              <a:extLst>
                <a:ext uri="{63B3BB69-23CF-44E3-9099-C40C66FF867C}">
                  <a14:compatExt spid="_x0000_s36865"/>
                </a:ext>
                <a:ext uri="{FF2B5EF4-FFF2-40B4-BE49-F238E27FC236}">
                  <a16:creationId xmlns:a16="http://schemas.microsoft.com/office/drawing/2014/main" id="{00000000-0008-0000-2200-00000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1</xdr:row>
          <xdr:rowOff>114300</xdr:rowOff>
        </xdr:from>
        <xdr:to>
          <xdr:col>4</xdr:col>
          <xdr:colOff>243840</xdr:colOff>
          <xdr:row>1</xdr:row>
          <xdr:rowOff>335280</xdr:rowOff>
        </xdr:to>
        <xdr:sp macro="" textlink="">
          <xdr:nvSpPr>
            <xdr:cNvPr id="36866" name="Check Box 2" hidden="1">
              <a:extLst>
                <a:ext uri="{63B3BB69-23CF-44E3-9099-C40C66FF867C}">
                  <a14:compatExt spid="_x0000_s36866"/>
                </a:ext>
                <a:ext uri="{FF2B5EF4-FFF2-40B4-BE49-F238E27FC236}">
                  <a16:creationId xmlns:a16="http://schemas.microsoft.com/office/drawing/2014/main" id="{00000000-0008-0000-2200-00000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1158240</xdr:colOff>
          <xdr:row>1</xdr:row>
          <xdr:rowOff>144780</xdr:rowOff>
        </xdr:from>
        <xdr:to>
          <xdr:col>10</xdr:col>
          <xdr:colOff>670560</xdr:colOff>
          <xdr:row>1</xdr:row>
          <xdr:rowOff>358140</xdr:rowOff>
        </xdr:to>
        <xdr:sp macro="" textlink="">
          <xdr:nvSpPr>
            <xdr:cNvPr id="36868" name="Check Box 4" hidden="1">
              <a:extLst>
                <a:ext uri="{63B3BB69-23CF-44E3-9099-C40C66FF867C}">
                  <a14:compatExt spid="_x0000_s36868"/>
                </a:ext>
                <a:ext uri="{FF2B5EF4-FFF2-40B4-BE49-F238E27FC236}">
                  <a16:creationId xmlns:a16="http://schemas.microsoft.com/office/drawing/2014/main" id="{00000000-0008-0000-2200-000004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845820</xdr:colOff>
          <xdr:row>1</xdr:row>
          <xdr:rowOff>129540</xdr:rowOff>
        </xdr:from>
        <xdr:to>
          <xdr:col>7</xdr:col>
          <xdr:colOff>563880</xdr:colOff>
          <xdr:row>1</xdr:row>
          <xdr:rowOff>342900</xdr:rowOff>
        </xdr:to>
        <xdr:sp macro="" textlink="">
          <xdr:nvSpPr>
            <xdr:cNvPr id="36870" name="Check Box 6" hidden="1">
              <a:extLst>
                <a:ext uri="{63B3BB69-23CF-44E3-9099-C40C66FF867C}">
                  <a14:compatExt spid="_x0000_s36870"/>
                </a:ext>
                <a:ext uri="{FF2B5EF4-FFF2-40B4-BE49-F238E27FC236}">
                  <a16:creationId xmlns:a16="http://schemas.microsoft.com/office/drawing/2014/main" id="{00000000-0008-0000-2200-000006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81.928839120374" createdVersion="8" refreshedVersion="8" minRefreshableVersion="3" recordCount="41" xr:uid="{6C5F5D97-BC27-458A-9D6D-5A8E9E9E3B69}">
  <cacheSource type="worksheet">
    <worksheetSource ref="A1:J42" sheet="Pivot Table"/>
  </cacheSource>
  <cacheFields count="12">
    <cacheField name="Sale Date" numFmtId="14">
      <sharedItems containsSemiMixedTypes="0" containsNonDate="0" containsDate="1" containsString="0" minDate="2023-01-05T00:00:00" maxDate="2023-12-13T00:00:00" count="39">
        <d v="2023-06-25T00:00:00"/>
        <d v="2023-06-15T00:00:00"/>
        <d v="2023-04-06T00:00:00"/>
        <d v="2023-04-01T00:00:00"/>
        <d v="2023-08-17T00:00:00"/>
        <d v="2023-06-03T00:00:00"/>
        <d v="2023-05-15T00:00:00"/>
        <d v="2023-02-01T00:00:00"/>
        <d v="2023-01-17T00:00:00"/>
        <d v="2023-03-04T00:00:00"/>
        <d v="2023-09-07T00:00:00"/>
        <d v="2023-08-11T00:00:00"/>
        <d v="2023-08-21T00:00:00"/>
        <d v="2023-04-09T00:00:00"/>
        <d v="2023-09-12T00:00:00"/>
        <d v="2023-07-03T00:00:00"/>
        <d v="2023-04-28T00:00:00"/>
        <d v="2023-08-23T00:00:00"/>
        <d v="2023-12-06T00:00:00"/>
        <d v="2023-01-05T00:00:00"/>
        <d v="2023-02-12T00:00:00"/>
        <d v="2023-03-18T00:00:00"/>
        <d v="2023-03-25T00:00:00"/>
        <d v="2023-04-02T00:00:00"/>
        <d v="2023-04-15T00:00:00"/>
        <d v="2023-05-19T00:00:00"/>
        <d v="2023-06-01T00:00:00"/>
        <d v="2023-06-12T00:00:00"/>
        <d v="2023-07-22T00:00:00"/>
        <d v="2023-07-28T00:00:00"/>
        <d v="2023-08-05T00:00:00"/>
        <d v="2023-08-15T00:00:00"/>
        <d v="2023-08-25T00:00:00"/>
        <d v="2023-09-09T00:00:00"/>
        <d v="2023-09-15T00:00:00"/>
        <d v="2023-10-02T00:00:00"/>
        <d v="2023-10-17T00:00:00"/>
        <d v="2023-11-29T00:00:00"/>
        <d v="2023-12-12T00:00:00"/>
      </sharedItems>
      <fieldGroup par="11"/>
    </cacheField>
    <cacheField name="Customer Name" numFmtId="0">
      <sharedItems count="30">
        <s v="Meera"/>
        <s v="Naman"/>
        <s v="Nishant"/>
        <s v="Vihaan"/>
        <s v="Ishita"/>
        <s v="Aarav"/>
        <s v="Ananya"/>
        <s v="Aditi"/>
        <s v="Kabir"/>
        <s v="Priya"/>
        <s v="Rahul"/>
        <s v="Neha"/>
        <s v="Arjun"/>
        <s v="Kavya"/>
        <s v="Varun"/>
        <s v="Isha"/>
        <s v="Sameer"/>
        <s v="Tanvi"/>
        <s v="Amit"/>
        <s v="Divya"/>
        <s v="Mohit"/>
        <s v="Ritika"/>
        <s v="Pranav"/>
        <s v="Sanya"/>
        <s v="Manish"/>
        <s v="Pooja"/>
        <s v="Aryan"/>
        <s v="Anushka"/>
        <s v="Kunal"/>
        <s v="Shreya"/>
      </sharedItems>
    </cacheField>
    <cacheField name="City" numFmtId="0">
      <sharedItems count="26">
        <s v="Nagpur"/>
        <s v="Coimbatore"/>
        <s v="Bengaluru"/>
        <s v="Madurai"/>
        <s v="Mumbai"/>
        <s v="Chennai"/>
        <s v="Mysuru"/>
        <s v="Ahmedabad"/>
        <s v="Dwarka"/>
        <s v="Pune"/>
        <s v="Surat"/>
        <s v="Karol Bagh"/>
        <s v="Hubli"/>
        <s v="Lucknow"/>
        <s v="Kolkata"/>
        <s v="Indore"/>
        <s v="Bhopal"/>
        <s v="Patna"/>
        <s v="Jaipur"/>
        <s v="Delhi"/>
        <s v="Vadodara"/>
        <s v="Ranchi"/>
        <s v="Noida"/>
        <s v="Ludhiana"/>
        <s v="Goa"/>
        <s v="Shimla"/>
      </sharedItems>
    </cacheField>
    <cacheField name="State" numFmtId="0">
      <sharedItems count="14">
        <s v="Maharashtra"/>
        <s v="Tamil Nadu"/>
        <s v="Karnataka"/>
        <s v="Gujarat"/>
        <s v="Delhi"/>
        <s v="Uttar Pradesh"/>
        <s v="West Bengal"/>
        <s v="Madhya Pradesh"/>
        <s v="Bihar"/>
        <s v="Rajasthan"/>
        <s v="Jharkhand"/>
        <s v="Punjab"/>
        <s v="Goa"/>
        <s v="Himachal Pradesh"/>
      </sharedItems>
    </cacheField>
    <cacheField name="Region" numFmtId="0">
      <sharedItems count="5">
        <s v="West"/>
        <s v="South"/>
        <s v="North"/>
        <s v="East"/>
        <s v="Central"/>
      </sharedItems>
    </cacheField>
    <cacheField name="Product Category" numFmtId="0">
      <sharedItems count="5">
        <s v="Furniture"/>
        <s v="Stationery"/>
        <s v="Clothing"/>
        <s v="Groceries"/>
        <s v="Electronics"/>
      </sharedItems>
    </cacheField>
    <cacheField name="Product Name" numFmtId="0">
      <sharedItems count="29">
        <s v="Table"/>
        <s v="Ruler"/>
        <s v="Dress"/>
        <s v="Lentils"/>
        <s v="Eraser"/>
        <s v="Headphones"/>
        <s v="Laptop"/>
        <s v="Pants"/>
        <s v="Shirt"/>
        <s v="Rice"/>
        <s v="Sugar"/>
        <s v="Jacket"/>
        <s v="Smartphone"/>
        <s v="Chair"/>
        <s v="Notebook"/>
        <s v="Wheat Flour"/>
        <s v="Jeans"/>
        <s v="Tablet"/>
        <s v="Pen"/>
        <s v="Coffee Beans"/>
        <s v="Cabinet"/>
        <s v="Marker"/>
        <s v="Tea Powder"/>
        <s v="Shoes"/>
        <s v="Bedsheet"/>
        <s v="Mouse"/>
        <s v="Salt"/>
        <s v="Hat"/>
        <s v="Stapler"/>
      </sharedItems>
    </cacheField>
    <cacheField name="Quantity" numFmtId="0">
      <sharedItems containsSemiMixedTypes="0" containsString="0" containsNumber="1" containsInteger="1" minValue="1" maxValue="30" count="19">
        <n v="6"/>
        <n v="9"/>
        <n v="11"/>
        <n v="2"/>
        <n v="17"/>
        <n v="5"/>
        <n v="18"/>
        <n v="1"/>
        <n v="19"/>
        <n v="20"/>
        <n v="7"/>
        <n v="3"/>
        <n v="8"/>
        <n v="4"/>
        <n v="10"/>
        <n v="15"/>
        <n v="30"/>
        <n v="12"/>
        <n v="25"/>
      </sharedItems>
    </cacheField>
    <cacheField name="Price per Unit" numFmtId="0">
      <sharedItems containsSemiMixedTypes="0" containsString="0" containsNumber="1" minValue="20.149999999999999" maxValue="18999.5"/>
    </cacheField>
    <cacheField name="Sales Amount" numFmtId="0">
      <sharedItems containsSemiMixedTypes="0" containsString="0" containsNumber="1" minValue="503.75" maxValue="108499.93"/>
    </cacheField>
    <cacheField name="Days (Sale Date)" numFmtId="0" databaseField="0">
      <fieldGroup base="0">
        <rangePr groupBy="days" startDate="2023-01-05T00:00:00" endDate="2023-12-13T00:00:00"/>
        <groupItems count="368">
          <s v="&lt;05-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3-12-2023"/>
        </groupItems>
      </fieldGroup>
    </cacheField>
    <cacheField name="Months (Sale Date)" numFmtId="0" databaseField="0">
      <fieldGroup base="0">
        <rangePr groupBy="months" startDate="2023-01-05T00:00:00" endDate="2023-12-13T00:00:00"/>
        <groupItems count="14">
          <s v="&lt;05-01-2023"/>
          <s v="Jan"/>
          <s v="Feb"/>
          <s v="Mar"/>
          <s v="Apr"/>
          <s v="May"/>
          <s v="Jun"/>
          <s v="Jul"/>
          <s v="Aug"/>
          <s v="Sep"/>
          <s v="Oct"/>
          <s v="Nov"/>
          <s v="Dec"/>
          <s v="&gt;13-12-2023"/>
        </groupItems>
      </fieldGroup>
    </cacheField>
  </cacheFields>
  <extLst>
    <ext xmlns:x14="http://schemas.microsoft.com/office/spreadsheetml/2009/9/main" uri="{725AE2AE-9491-48be-B2B4-4EB974FC3084}">
      <x14:pivotCacheDefinition pivotCacheId="134681780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884.931234953707" createdVersion="8" refreshedVersion="8" minRefreshableVersion="3" recordCount="41" xr:uid="{0CC08AF7-E180-4F3D-A920-FC0ECD490DCA}">
  <cacheSource type="worksheet">
    <worksheetSource ref="A1:L42" sheet="RAW DATA"/>
  </cacheSource>
  <cacheFields count="12">
    <cacheField name="Emp Code" numFmtId="0">
      <sharedItems/>
    </cacheField>
    <cacheField name="Sales Executive" numFmtId="0">
      <sharedItems count="41">
        <s v="Raj Verma"/>
        <s v="Tanuja Kale"/>
        <s v="Arvind Sharma"/>
        <s v="Tahira Qureshi"/>
        <s v="Anuj Sharma"/>
        <s v="Syed Sohail"/>
        <s v="Syed Saqib"/>
        <s v="Syed Naved"/>
        <s v="Swarnlata Borse"/>
        <s v="Sushma Khandelwal"/>
        <s v="Surendranath Thakur"/>
        <s v="Sureendra Kumar"/>
        <s v="Sunita Madnani"/>
        <s v="Sunita Chawla"/>
        <s v="Sunita Kumawat"/>
        <s v="Sudhir Kumar"/>
        <s v="Sudama Kumar"/>
        <s v="Sonaram Munda"/>
        <s v="Sheen Khan"/>
        <s v="Shyamal Malakar"/>
        <s v="Shubhanjali Joshi"/>
        <s v="Kavita Sinha"/>
        <s v="Rohit Kapoor"/>
        <s v="Ayesha Khan"/>
        <s v="Manoj Yadav"/>
        <s v="Vinod Mehta"/>
        <s v="Rekha Sharma"/>
        <s v="Deepak Sood"/>
        <s v="Neha Bhatia"/>
        <s v="Ajay Chauhan"/>
        <s v="Varun Malhotra"/>
        <s v="Amrita Joshi"/>
        <s v="Pooja Agarwal"/>
        <s v="Ramesh Patil"/>
        <s v="Sakshi Pandey"/>
        <s v="Harish Gupta"/>
        <s v="Vikas Jain"/>
        <s v="Anita Kumari"/>
        <s v="Kiran Desai"/>
        <s v="Sandeep Rawat"/>
        <s v="Monika Sharma"/>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3"/>
    </cacheField>
    <cacheField name="Day2" numFmtId="0">
      <sharedItems containsSemiMixedTypes="0" containsString="0" containsNumber="1" containsInteger="1" minValue="14" maxValue="99"/>
    </cacheField>
    <cacheField name="Day3" numFmtId="0">
      <sharedItems containsSemiMixedTypes="0" containsString="0" containsNumber="1" containsInteger="1" minValue="7" maxValue="99"/>
    </cacheField>
    <cacheField name="Day4" numFmtId="0">
      <sharedItems containsSemiMixedTypes="0" containsString="0" containsNumber="1" containsInteger="1" minValue="13" maxValue="98"/>
    </cacheField>
    <cacheField name="Day5" numFmtId="0">
      <sharedItems containsSemiMixedTypes="0" containsString="0" containsNumber="1" containsInteger="1" minValue="9" maxValue="95"/>
    </cacheField>
    <cacheField name="Total Sales" numFmtId="0">
      <sharedItems containsSemiMixedTypes="0" containsString="0" containsNumber="1" containsInteger="1" minValue="147" maxValue="464"/>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9399999999999998" maxValue="0.92800000000000005"/>
    </cacheField>
    <cacheField name="Away From Target %" numFmtId="10">
      <sharedItems containsSemiMixedTypes="0" containsString="0" containsNumber="1" minValue="7.1999999999999995E-2" maxValue="0.70599999999999996"/>
    </cacheField>
  </cacheFields>
  <extLst>
    <ext xmlns:x14="http://schemas.microsoft.com/office/spreadsheetml/2009/9/main" uri="{725AE2AE-9491-48be-B2B4-4EB974FC3084}">
      <x14:pivotCacheDefinition pivotCacheId="13278487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x v="0"/>
    <x v="0"/>
    <x v="0"/>
    <x v="0"/>
    <x v="0"/>
    <x v="0"/>
    <x v="0"/>
    <x v="0"/>
    <n v="4016.25"/>
    <n v="24097.5"/>
  </r>
  <r>
    <x v="1"/>
    <x v="1"/>
    <x v="1"/>
    <x v="1"/>
    <x v="1"/>
    <x v="1"/>
    <x v="1"/>
    <x v="1"/>
    <n v="3801.8"/>
    <n v="34216.65"/>
  </r>
  <r>
    <x v="2"/>
    <x v="2"/>
    <x v="2"/>
    <x v="2"/>
    <x v="1"/>
    <x v="1"/>
    <x v="1"/>
    <x v="2"/>
    <n v="3594.07"/>
    <n v="39534.769999999997"/>
  </r>
  <r>
    <x v="3"/>
    <x v="3"/>
    <x v="3"/>
    <x v="1"/>
    <x v="1"/>
    <x v="2"/>
    <x v="2"/>
    <x v="3"/>
    <n v="2041.52"/>
    <n v="4083.03"/>
  </r>
  <r>
    <x v="4"/>
    <x v="4"/>
    <x v="4"/>
    <x v="0"/>
    <x v="0"/>
    <x v="3"/>
    <x v="3"/>
    <x v="4"/>
    <n v="1240.77"/>
    <n v="21093.09"/>
  </r>
  <r>
    <x v="5"/>
    <x v="5"/>
    <x v="5"/>
    <x v="1"/>
    <x v="1"/>
    <x v="1"/>
    <x v="4"/>
    <x v="5"/>
    <n v="1384.79"/>
    <n v="6923.97"/>
  </r>
  <r>
    <x v="6"/>
    <x v="5"/>
    <x v="6"/>
    <x v="2"/>
    <x v="1"/>
    <x v="4"/>
    <x v="5"/>
    <x v="5"/>
    <n v="2196.9899999999998"/>
    <n v="10984.95"/>
  </r>
  <r>
    <x v="7"/>
    <x v="5"/>
    <x v="7"/>
    <x v="3"/>
    <x v="0"/>
    <x v="2"/>
    <x v="2"/>
    <x v="6"/>
    <n v="3128.59"/>
    <n v="56314.62"/>
  </r>
  <r>
    <x v="8"/>
    <x v="2"/>
    <x v="3"/>
    <x v="1"/>
    <x v="1"/>
    <x v="0"/>
    <x v="0"/>
    <x v="7"/>
    <n v="2754.39"/>
    <n v="2754.39"/>
  </r>
  <r>
    <x v="7"/>
    <x v="5"/>
    <x v="7"/>
    <x v="3"/>
    <x v="0"/>
    <x v="4"/>
    <x v="6"/>
    <x v="8"/>
    <n v="4896.3100000000004"/>
    <n v="93029.89"/>
  </r>
  <r>
    <x v="9"/>
    <x v="5"/>
    <x v="6"/>
    <x v="2"/>
    <x v="1"/>
    <x v="2"/>
    <x v="7"/>
    <x v="0"/>
    <n v="4231.7700000000004"/>
    <n v="25390.62"/>
  </r>
  <r>
    <x v="10"/>
    <x v="6"/>
    <x v="4"/>
    <x v="0"/>
    <x v="0"/>
    <x v="2"/>
    <x v="8"/>
    <x v="9"/>
    <n v="1277.53"/>
    <n v="25550.6"/>
  </r>
  <r>
    <x v="11"/>
    <x v="6"/>
    <x v="7"/>
    <x v="3"/>
    <x v="0"/>
    <x v="2"/>
    <x v="7"/>
    <x v="10"/>
    <n v="1263.32"/>
    <n v="8843.26"/>
  </r>
  <r>
    <x v="12"/>
    <x v="6"/>
    <x v="8"/>
    <x v="4"/>
    <x v="2"/>
    <x v="2"/>
    <x v="8"/>
    <x v="7"/>
    <n v="2634.14"/>
    <n v="2634.14"/>
  </r>
  <r>
    <x v="11"/>
    <x v="5"/>
    <x v="9"/>
    <x v="0"/>
    <x v="0"/>
    <x v="0"/>
    <x v="0"/>
    <x v="2"/>
    <n v="2970.3"/>
    <n v="32673.360000000001"/>
  </r>
  <r>
    <x v="13"/>
    <x v="5"/>
    <x v="10"/>
    <x v="3"/>
    <x v="0"/>
    <x v="3"/>
    <x v="9"/>
    <x v="11"/>
    <n v="6821.39"/>
    <n v="20464.16"/>
  </r>
  <r>
    <x v="14"/>
    <x v="7"/>
    <x v="6"/>
    <x v="2"/>
    <x v="1"/>
    <x v="2"/>
    <x v="2"/>
    <x v="11"/>
    <n v="4244.7299999999996"/>
    <n v="12734.19"/>
  </r>
  <r>
    <x v="15"/>
    <x v="8"/>
    <x v="11"/>
    <x v="4"/>
    <x v="2"/>
    <x v="1"/>
    <x v="4"/>
    <x v="0"/>
    <n v="1133.22"/>
    <n v="6799.32"/>
  </r>
  <r>
    <x v="16"/>
    <x v="7"/>
    <x v="1"/>
    <x v="1"/>
    <x v="1"/>
    <x v="4"/>
    <x v="6"/>
    <x v="11"/>
    <n v="1246.42"/>
    <n v="3739.26"/>
  </r>
  <r>
    <x v="17"/>
    <x v="7"/>
    <x v="1"/>
    <x v="1"/>
    <x v="1"/>
    <x v="1"/>
    <x v="1"/>
    <x v="12"/>
    <n v="1569.78"/>
    <n v="12571.56"/>
  </r>
  <r>
    <x v="18"/>
    <x v="9"/>
    <x v="12"/>
    <x v="2"/>
    <x v="1"/>
    <x v="3"/>
    <x v="10"/>
    <x v="8"/>
    <n v="2494.11"/>
    <n v="47388.09"/>
  </r>
  <r>
    <x v="19"/>
    <x v="10"/>
    <x v="13"/>
    <x v="5"/>
    <x v="2"/>
    <x v="2"/>
    <x v="11"/>
    <x v="13"/>
    <n v="3250.45"/>
    <n v="13001.8"/>
  </r>
  <r>
    <x v="20"/>
    <x v="11"/>
    <x v="14"/>
    <x v="6"/>
    <x v="3"/>
    <x v="4"/>
    <x v="12"/>
    <x v="10"/>
    <n v="15499.99"/>
    <n v="108499.93"/>
  </r>
  <r>
    <x v="21"/>
    <x v="12"/>
    <x v="15"/>
    <x v="7"/>
    <x v="4"/>
    <x v="0"/>
    <x v="13"/>
    <x v="14"/>
    <n v="2850.75"/>
    <n v="28507.5"/>
  </r>
  <r>
    <x v="22"/>
    <x v="13"/>
    <x v="16"/>
    <x v="7"/>
    <x v="4"/>
    <x v="1"/>
    <x v="14"/>
    <x v="15"/>
    <n v="120.5"/>
    <n v="1807.5"/>
  </r>
  <r>
    <x v="23"/>
    <x v="14"/>
    <x v="17"/>
    <x v="8"/>
    <x v="3"/>
    <x v="3"/>
    <x v="15"/>
    <x v="9"/>
    <n v="52.5"/>
    <n v="1050"/>
  </r>
  <r>
    <x v="24"/>
    <x v="15"/>
    <x v="10"/>
    <x v="3"/>
    <x v="0"/>
    <x v="2"/>
    <x v="16"/>
    <x v="1"/>
    <n v="1450.65"/>
    <n v="13055.85"/>
  </r>
  <r>
    <x v="25"/>
    <x v="16"/>
    <x v="0"/>
    <x v="0"/>
    <x v="0"/>
    <x v="4"/>
    <x v="17"/>
    <x v="5"/>
    <n v="18999.5"/>
    <n v="94997.5"/>
  </r>
  <r>
    <x v="26"/>
    <x v="17"/>
    <x v="18"/>
    <x v="9"/>
    <x v="2"/>
    <x v="1"/>
    <x v="18"/>
    <x v="16"/>
    <n v="25.75"/>
    <n v="772.5"/>
  </r>
  <r>
    <x v="27"/>
    <x v="18"/>
    <x v="6"/>
    <x v="2"/>
    <x v="1"/>
    <x v="3"/>
    <x v="19"/>
    <x v="0"/>
    <n v="480.35"/>
    <n v="2882.1"/>
  </r>
  <r>
    <x v="28"/>
    <x v="19"/>
    <x v="9"/>
    <x v="0"/>
    <x v="0"/>
    <x v="2"/>
    <x v="8"/>
    <x v="12"/>
    <n v="1299.99"/>
    <n v="10399.92"/>
  </r>
  <r>
    <x v="29"/>
    <x v="20"/>
    <x v="19"/>
    <x v="4"/>
    <x v="2"/>
    <x v="0"/>
    <x v="20"/>
    <x v="3"/>
    <n v="7500"/>
    <n v="15000"/>
  </r>
  <r>
    <x v="30"/>
    <x v="21"/>
    <x v="1"/>
    <x v="1"/>
    <x v="1"/>
    <x v="1"/>
    <x v="21"/>
    <x v="17"/>
    <n v="45.6"/>
    <n v="547.20000000000005"/>
  </r>
  <r>
    <x v="31"/>
    <x v="22"/>
    <x v="20"/>
    <x v="3"/>
    <x v="0"/>
    <x v="4"/>
    <x v="5"/>
    <x v="13"/>
    <n v="2150.35"/>
    <n v="8601.4"/>
  </r>
  <r>
    <x v="32"/>
    <x v="23"/>
    <x v="5"/>
    <x v="1"/>
    <x v="1"/>
    <x v="3"/>
    <x v="22"/>
    <x v="14"/>
    <n v="350.25"/>
    <n v="3502.5"/>
  </r>
  <r>
    <x v="33"/>
    <x v="24"/>
    <x v="2"/>
    <x v="2"/>
    <x v="1"/>
    <x v="2"/>
    <x v="23"/>
    <x v="11"/>
    <n v="2450"/>
    <n v="7350"/>
  </r>
  <r>
    <x v="34"/>
    <x v="25"/>
    <x v="21"/>
    <x v="10"/>
    <x v="3"/>
    <x v="0"/>
    <x v="24"/>
    <x v="5"/>
    <n v="799.99"/>
    <n v="3999.95"/>
  </r>
  <r>
    <x v="35"/>
    <x v="26"/>
    <x v="22"/>
    <x v="5"/>
    <x v="2"/>
    <x v="4"/>
    <x v="25"/>
    <x v="0"/>
    <n v="550.49"/>
    <n v="3302.94"/>
  </r>
  <r>
    <x v="36"/>
    <x v="27"/>
    <x v="23"/>
    <x v="11"/>
    <x v="2"/>
    <x v="3"/>
    <x v="26"/>
    <x v="18"/>
    <n v="20.149999999999999"/>
    <n v="503.75"/>
  </r>
  <r>
    <x v="37"/>
    <x v="28"/>
    <x v="24"/>
    <x v="12"/>
    <x v="0"/>
    <x v="2"/>
    <x v="27"/>
    <x v="10"/>
    <n v="250.75"/>
    <n v="1755.25"/>
  </r>
  <r>
    <x v="38"/>
    <x v="29"/>
    <x v="25"/>
    <x v="13"/>
    <x v="2"/>
    <x v="1"/>
    <x v="28"/>
    <x v="5"/>
    <n v="199.5"/>
    <n v="997.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s v="Mum-TCL001"/>
    <x v="0"/>
    <x v="0"/>
    <n v="49"/>
    <n v="84"/>
    <n v="98"/>
    <n v="67"/>
    <n v="41"/>
    <n v="339"/>
    <n v="500"/>
    <n v="0.67800000000000005"/>
    <n v="0.32200000000000001"/>
  </r>
  <r>
    <s v="Mum-TCL002"/>
    <x v="1"/>
    <x v="1"/>
    <n v="44"/>
    <n v="53"/>
    <n v="97"/>
    <n v="45"/>
    <n v="48"/>
    <n v="287"/>
    <n v="500"/>
    <n v="0.57399999999999995"/>
    <n v="0.42599999999999999"/>
  </r>
  <r>
    <s v="Mum-TCL003"/>
    <x v="2"/>
    <x v="2"/>
    <n v="45"/>
    <n v="89"/>
    <n v="78"/>
    <n v="73"/>
    <n v="54"/>
    <n v="339"/>
    <n v="500"/>
    <n v="0.67800000000000005"/>
    <n v="0.32200000000000001"/>
  </r>
  <r>
    <s v="Mum-TCL004"/>
    <x v="3"/>
    <x v="3"/>
    <n v="52"/>
    <n v="99"/>
    <n v="13"/>
    <n v="92"/>
    <n v="29"/>
    <n v="285"/>
    <n v="500"/>
    <n v="0.56999999999999995"/>
    <n v="0.43"/>
  </r>
  <r>
    <s v="Mum-TCL005"/>
    <x v="4"/>
    <x v="4"/>
    <n v="28"/>
    <n v="34"/>
    <n v="98"/>
    <n v="89"/>
    <n v="43"/>
    <n v="292"/>
    <n v="500"/>
    <n v="0.58399999999999996"/>
    <n v="0.41599999999999998"/>
  </r>
  <r>
    <s v="Mum-TCL006"/>
    <x v="5"/>
    <x v="5"/>
    <n v="25"/>
    <n v="31"/>
    <n v="23"/>
    <n v="47"/>
    <n v="77"/>
    <n v="203"/>
    <n v="500"/>
    <n v="0.40600000000000003"/>
    <n v="0.59399999999999997"/>
  </r>
  <r>
    <s v="Mum-TCL007"/>
    <x v="6"/>
    <x v="6"/>
    <n v="84"/>
    <n v="98"/>
    <n v="99"/>
    <n v="79"/>
    <n v="9"/>
    <n v="369"/>
    <n v="500"/>
    <n v="0.73799999999999999"/>
    <n v="0.26200000000000001"/>
  </r>
  <r>
    <s v="Mum-TCL008"/>
    <x v="7"/>
    <x v="7"/>
    <n v="39"/>
    <n v="87"/>
    <n v="32"/>
    <n v="58"/>
    <n v="80"/>
    <n v="296"/>
    <n v="500"/>
    <n v="0.59199999999999997"/>
    <n v="0.40799999999999997"/>
  </r>
  <r>
    <s v="Mum-TCL009"/>
    <x v="8"/>
    <x v="0"/>
    <n v="24"/>
    <n v="53"/>
    <n v="52"/>
    <n v="53"/>
    <n v="53"/>
    <n v="235"/>
    <n v="500"/>
    <n v="0.47"/>
    <n v="0.53"/>
  </r>
  <r>
    <s v="Mum-TCL010"/>
    <x v="9"/>
    <x v="1"/>
    <n v="52"/>
    <n v="53"/>
    <n v="13"/>
    <n v="30"/>
    <n v="31"/>
    <n v="179"/>
    <n v="500"/>
    <n v="0.35799999999999998"/>
    <n v="0.64200000000000002"/>
  </r>
  <r>
    <s v="Mum-TCL011"/>
    <x v="10"/>
    <x v="2"/>
    <n v="53"/>
    <n v="32"/>
    <n v="7"/>
    <n v="41"/>
    <n v="51"/>
    <n v="184"/>
    <n v="500"/>
    <n v="0.36799999999999999"/>
    <n v="0.63200000000000001"/>
  </r>
  <r>
    <s v="Mum-TCL012"/>
    <x v="11"/>
    <x v="3"/>
    <n v="92"/>
    <n v="93"/>
    <n v="89"/>
    <n v="80"/>
    <n v="95"/>
    <n v="449"/>
    <n v="500"/>
    <n v="0.89800000000000002"/>
    <n v="0.10199999999999999"/>
  </r>
  <r>
    <s v="Mum-TCL013"/>
    <x v="12"/>
    <x v="4"/>
    <n v="59"/>
    <n v="54"/>
    <n v="64"/>
    <n v="58"/>
    <n v="22"/>
    <n v="257"/>
    <n v="500"/>
    <n v="0.51400000000000001"/>
    <n v="0.48599999999999999"/>
  </r>
  <r>
    <s v="Mum-TCL014"/>
    <x v="13"/>
    <x v="5"/>
    <n v="72"/>
    <n v="77"/>
    <n v="82"/>
    <n v="90"/>
    <n v="16"/>
    <n v="337"/>
    <n v="500"/>
    <n v="0.67400000000000004"/>
    <n v="0.32600000000000001"/>
  </r>
  <r>
    <s v="Mum-TCL015"/>
    <x v="14"/>
    <x v="6"/>
    <n v="44"/>
    <n v="53"/>
    <n v="97"/>
    <n v="45"/>
    <n v="48"/>
    <n v="287"/>
    <n v="500"/>
    <n v="0.57399999999999995"/>
    <n v="0.42599999999999999"/>
  </r>
  <r>
    <s v="Mum-TCL016"/>
    <x v="15"/>
    <x v="7"/>
    <n v="14"/>
    <n v="29"/>
    <n v="16"/>
    <n v="45"/>
    <n v="45"/>
    <n v="149"/>
    <n v="500"/>
    <n v="0.29799999999999999"/>
    <n v="0.70199999999999996"/>
  </r>
  <r>
    <s v="Mum-TCL017"/>
    <x v="16"/>
    <x v="0"/>
    <n v="42"/>
    <n v="58"/>
    <n v="77"/>
    <n v="53"/>
    <n v="31"/>
    <n v="261"/>
    <n v="500"/>
    <n v="0.52200000000000002"/>
    <n v="0.47799999999999998"/>
  </r>
  <r>
    <s v="Mum-TCL018"/>
    <x v="17"/>
    <x v="1"/>
    <n v="11"/>
    <n v="91"/>
    <n v="93"/>
    <n v="61"/>
    <n v="35"/>
    <n v="291"/>
    <n v="500"/>
    <n v="0.58199999999999996"/>
    <n v="0.41799999999999998"/>
  </r>
  <r>
    <s v="Mum-TCL019"/>
    <x v="18"/>
    <x v="2"/>
    <n v="19"/>
    <n v="14"/>
    <n v="56"/>
    <n v="98"/>
    <n v="66"/>
    <n v="253"/>
    <n v="500"/>
    <n v="0.50600000000000001"/>
    <n v="0.49399999999999999"/>
  </r>
  <r>
    <s v="Mum-TCL020"/>
    <x v="19"/>
    <x v="3"/>
    <n v="93"/>
    <n v="83"/>
    <n v="14"/>
    <n v="13"/>
    <n v="48"/>
    <n v="251"/>
    <n v="500"/>
    <n v="0.502"/>
    <n v="0.498"/>
  </r>
  <r>
    <s v="Mum-TCL021"/>
    <x v="20"/>
    <x v="4"/>
    <n v="68"/>
    <n v="73"/>
    <n v="74"/>
    <n v="84"/>
    <n v="67"/>
    <n v="366"/>
    <n v="500"/>
    <n v="0.73199999999999998"/>
    <n v="0.26800000000000002"/>
  </r>
  <r>
    <s v="Mum-TCL022"/>
    <x v="21"/>
    <x v="1"/>
    <n v="55"/>
    <n v="67"/>
    <n v="89"/>
    <n v="42"/>
    <n v="60"/>
    <n v="313"/>
    <n v="500"/>
    <n v="0.626"/>
    <n v="0.374"/>
  </r>
  <r>
    <s v="Mum-TCL023"/>
    <x v="22"/>
    <x v="2"/>
    <n v="78"/>
    <n v="81"/>
    <n v="64"/>
    <n v="59"/>
    <n v="70"/>
    <n v="352"/>
    <n v="500"/>
    <n v="0.70399999999999996"/>
    <n v="0.29599999999999999"/>
  </r>
  <r>
    <s v="Mum-TCL024"/>
    <x v="23"/>
    <x v="3"/>
    <n v="33"/>
    <n v="47"/>
    <n v="55"/>
    <n v="61"/>
    <n v="45"/>
    <n v="241"/>
    <n v="500"/>
    <n v="0.48199999999999998"/>
    <n v="0.51800000000000002"/>
  </r>
  <r>
    <s v="Mum-TCL025"/>
    <x v="24"/>
    <x v="4"/>
    <n v="91"/>
    <n v="85"/>
    <n v="79"/>
    <n v="82"/>
    <n v="68"/>
    <n v="405"/>
    <n v="500"/>
    <n v="0.81"/>
    <n v="0.19"/>
  </r>
  <r>
    <s v="Mum-TCL026"/>
    <x v="25"/>
    <x v="5"/>
    <n v="23"/>
    <n v="35"/>
    <n v="42"/>
    <n v="39"/>
    <n v="50"/>
    <n v="189"/>
    <n v="500"/>
    <n v="0.378"/>
    <n v="0.622"/>
  </r>
  <r>
    <s v="Mum-TCL027"/>
    <x v="26"/>
    <x v="6"/>
    <n v="66"/>
    <n v="71"/>
    <n v="54"/>
    <n v="60"/>
    <n v="59"/>
    <n v="310"/>
    <n v="500"/>
    <n v="0.62"/>
    <n v="0.38"/>
  </r>
  <r>
    <s v="Mum-TCL028"/>
    <x v="27"/>
    <x v="7"/>
    <n v="48"/>
    <n v="50"/>
    <n v="37"/>
    <n v="46"/>
    <n v="44"/>
    <n v="225"/>
    <n v="500"/>
    <n v="0.45"/>
    <n v="0.55000000000000004"/>
  </r>
  <r>
    <s v="Mum-TCL029"/>
    <x v="28"/>
    <x v="0"/>
    <n v="72"/>
    <n v="79"/>
    <n v="83"/>
    <n v="65"/>
    <n v="77"/>
    <n v="376"/>
    <n v="500"/>
    <n v="0.752"/>
    <n v="0.248"/>
  </r>
  <r>
    <s v="Mum-TCL030"/>
    <x v="29"/>
    <x v="1"/>
    <n v="59"/>
    <n v="61"/>
    <n v="67"/>
    <n v="70"/>
    <n v="64"/>
    <n v="321"/>
    <n v="500"/>
    <n v="0.64200000000000002"/>
    <n v="0.35799999999999998"/>
  </r>
  <r>
    <s v="Mum-TCL031"/>
    <x v="30"/>
    <x v="2"/>
    <n v="35"/>
    <n v="42"/>
    <n v="40"/>
    <n v="51"/>
    <n v="48"/>
    <n v="216"/>
    <n v="500"/>
    <n v="0.432"/>
    <n v="0.56799999999999995"/>
  </r>
  <r>
    <s v="Mum-TCL032"/>
    <x v="31"/>
    <x v="3"/>
    <n v="81"/>
    <n v="84"/>
    <n v="79"/>
    <n v="85"/>
    <n v="80"/>
    <n v="409"/>
    <n v="500"/>
    <n v="0.81799999999999995"/>
    <n v="0.182"/>
  </r>
  <r>
    <s v="Mum-TCL033"/>
    <x v="32"/>
    <x v="4"/>
    <n v="26"/>
    <n v="33"/>
    <n v="29"/>
    <n v="31"/>
    <n v="28"/>
    <n v="147"/>
    <n v="500"/>
    <n v="0.29399999999999998"/>
    <n v="0.70599999999999996"/>
  </r>
  <r>
    <s v="Mum-TCL034"/>
    <x v="33"/>
    <x v="5"/>
    <n v="64"/>
    <n v="61"/>
    <n v="70"/>
    <n v="69"/>
    <n v="73"/>
    <n v="337"/>
    <n v="500"/>
    <n v="0.67400000000000004"/>
    <n v="0.32600000000000001"/>
  </r>
  <r>
    <s v="Mum-TCL035"/>
    <x v="34"/>
    <x v="6"/>
    <n v="54"/>
    <n v="59"/>
    <n v="62"/>
    <n v="65"/>
    <n v="61"/>
    <n v="301"/>
    <n v="500"/>
    <n v="0.60199999999999998"/>
    <n v="0.39800000000000002"/>
  </r>
  <r>
    <s v="Mum-TCL036"/>
    <x v="35"/>
    <x v="7"/>
    <n v="77"/>
    <n v="75"/>
    <n v="79"/>
    <n v="82"/>
    <n v="76"/>
    <n v="389"/>
    <n v="500"/>
    <n v="0.77800000000000002"/>
    <n v="0.222"/>
  </r>
  <r>
    <s v="Mum-TCL037"/>
    <x v="36"/>
    <x v="0"/>
    <n v="29"/>
    <n v="37"/>
    <n v="42"/>
    <n v="39"/>
    <n v="36"/>
    <n v="183"/>
    <n v="500"/>
    <n v="0.36599999999999999"/>
    <n v="0.63400000000000001"/>
  </r>
  <r>
    <s v="Mum-TCL038"/>
    <x v="37"/>
    <x v="1"/>
    <n v="83"/>
    <n v="88"/>
    <n v="91"/>
    <n v="79"/>
    <n v="85"/>
    <n v="426"/>
    <n v="500"/>
    <n v="0.85199999999999998"/>
    <n v="0.14799999999999999"/>
  </r>
  <r>
    <s v="Mum-TCL039"/>
    <x v="38"/>
    <x v="2"/>
    <n v="50"/>
    <n v="53"/>
    <n v="55"/>
    <n v="52"/>
    <n v="54"/>
    <n v="264"/>
    <n v="500"/>
    <n v="0.52800000000000002"/>
    <n v="0.47199999999999998"/>
  </r>
  <r>
    <s v="Mum-TCL040"/>
    <x v="39"/>
    <x v="3"/>
    <n v="45"/>
    <n v="47"/>
    <n v="49"/>
    <n v="51"/>
    <n v="53"/>
    <n v="245"/>
    <n v="500"/>
    <n v="0.49"/>
    <n v="0.51"/>
  </r>
  <r>
    <s v="Mum-TCL041"/>
    <x v="40"/>
    <x v="4"/>
    <n v="90"/>
    <n v="92"/>
    <n v="94"/>
    <n v="95"/>
    <n v="93"/>
    <n v="464"/>
    <n v="500"/>
    <n v="0.92800000000000005"/>
    <n v="7.199999999999999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DC49B4C-DB8E-4989-B2D9-B109FD5AE1EA}"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1:B16" firstHeaderRow="1" firstDataRow="1" firstDataCol="1"/>
  <pivotFields count="12">
    <pivotField axis="axisRow" numFmtId="14" showAll="0">
      <items count="40">
        <item x="19"/>
        <item x="8"/>
        <item x="7"/>
        <item x="20"/>
        <item x="9"/>
        <item x="21"/>
        <item x="22"/>
        <item x="3"/>
        <item x="23"/>
        <item x="2"/>
        <item x="13"/>
        <item x="24"/>
        <item x="16"/>
        <item x="6"/>
        <item x="25"/>
        <item x="26"/>
        <item x="5"/>
        <item x="27"/>
        <item x="1"/>
        <item x="0"/>
        <item x="15"/>
        <item x="28"/>
        <item x="29"/>
        <item x="30"/>
        <item x="11"/>
        <item x="31"/>
        <item x="4"/>
        <item x="12"/>
        <item x="17"/>
        <item x="32"/>
        <item x="10"/>
        <item x="33"/>
        <item x="14"/>
        <item x="34"/>
        <item x="35"/>
        <item x="36"/>
        <item x="37"/>
        <item x="18"/>
        <item x="38"/>
        <item t="default"/>
      </items>
    </pivotField>
    <pivotField showAll="0"/>
    <pivotField showAll="0"/>
    <pivotField showAll="0"/>
    <pivotField showAll="0"/>
    <pivotField showAll="0"/>
    <pivotField showAll="0"/>
    <pivotField dataField="1" showAll="0"/>
    <pivotField showAll="0"/>
    <pivotField showAll="0"/>
    <pivotField axis="axisRow"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x="1"/>
        <item sd="0" x="2"/>
        <item sd="0" x="3"/>
        <item sd="0" x="4"/>
        <item sd="0" x="5"/>
        <item sd="0" x="6"/>
        <item sd="0" x="7"/>
        <item sd="0" x="8"/>
        <item sd="0" x="9"/>
        <item sd="0" x="10"/>
        <item sd="0" x="11"/>
        <item sd="0" x="12"/>
        <item sd="0" x="13"/>
      </items>
    </pivotField>
  </pivotFields>
  <rowFields count="3">
    <field x="11"/>
    <field x="10"/>
    <field x="0"/>
  </rowFields>
  <rowItems count="15">
    <i>
      <x v="1"/>
    </i>
    <i r="1">
      <x v="5"/>
    </i>
    <i r="1">
      <x v="17"/>
    </i>
    <i>
      <x v="2"/>
    </i>
    <i>
      <x v="3"/>
    </i>
    <i>
      <x v="4"/>
    </i>
    <i>
      <x v="5"/>
    </i>
    <i>
      <x v="6"/>
    </i>
    <i>
      <x v="7"/>
    </i>
    <i>
      <x v="8"/>
    </i>
    <i>
      <x v="9"/>
    </i>
    <i>
      <x v="10"/>
    </i>
    <i>
      <x v="11"/>
    </i>
    <i>
      <x v="12"/>
    </i>
    <i t="grand">
      <x/>
    </i>
  </rowItems>
  <colItems count="1">
    <i/>
  </colItems>
  <dataFields count="1">
    <dataField name="Sum of Quantity" fld="7" baseField="0" baseItem="0"/>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E7F20D-79CE-4C5B-931F-9A63B72EA12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 ">
  <location ref="A3:B9" firstHeaderRow="1" firstDataRow="1" firstDataCol="1"/>
  <pivotFields count="12">
    <pivotField numFmtId="14" showAll="0">
      <items count="40">
        <item x="19"/>
        <item x="8"/>
        <item x="7"/>
        <item x="20"/>
        <item x="9"/>
        <item x="21"/>
        <item x="22"/>
        <item x="3"/>
        <item x="23"/>
        <item x="2"/>
        <item x="13"/>
        <item x="24"/>
        <item x="16"/>
        <item x="6"/>
        <item x="25"/>
        <item x="26"/>
        <item x="5"/>
        <item x="27"/>
        <item x="1"/>
        <item x="0"/>
        <item x="15"/>
        <item x="28"/>
        <item x="29"/>
        <item x="30"/>
        <item x="11"/>
        <item x="31"/>
        <item x="4"/>
        <item x="12"/>
        <item x="17"/>
        <item x="32"/>
        <item x="10"/>
        <item x="33"/>
        <item x="14"/>
        <item x="34"/>
        <item x="35"/>
        <item x="36"/>
        <item x="37"/>
        <item x="18"/>
        <item x="38"/>
        <item t="default"/>
      </items>
    </pivotField>
    <pivotField showAll="0"/>
    <pivotField showAll="0"/>
    <pivotField showAll="0"/>
    <pivotField showAll="0"/>
    <pivotField showAll="0"/>
    <pivotField axis="axisRow" showAll="0" measureFilter="1" sortType="descending">
      <items count="30">
        <item x="24"/>
        <item x="20"/>
        <item x="13"/>
        <item x="19"/>
        <item x="2"/>
        <item x="4"/>
        <item x="27"/>
        <item x="5"/>
        <item x="11"/>
        <item x="16"/>
        <item x="6"/>
        <item x="3"/>
        <item x="21"/>
        <item x="25"/>
        <item x="14"/>
        <item x="7"/>
        <item x="18"/>
        <item x="9"/>
        <item x="1"/>
        <item x="26"/>
        <item x="8"/>
        <item x="23"/>
        <item x="12"/>
        <item x="28"/>
        <item x="10"/>
        <item x="0"/>
        <item x="17"/>
        <item x="22"/>
        <item x="15"/>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6"/>
  </rowFields>
  <rowItems count="6">
    <i>
      <x v="16"/>
    </i>
    <i>
      <x v="20"/>
    </i>
    <i>
      <x v="18"/>
    </i>
    <i>
      <x v="19"/>
    </i>
    <i>
      <x v="4"/>
    </i>
    <i t="grand">
      <x/>
    </i>
  </rowItems>
  <colItems count="1">
    <i/>
  </colItems>
  <dataFields count="1">
    <dataField name="Sum of Quantity" fld="7" baseField="0" baseItem="0"/>
  </dataField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E16788-4637-4201-9501-6B5A3C5E268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G19" firstHeaderRow="1" firstDataRow="2" firstDataCol="1"/>
  <pivotFields count="12">
    <pivotField numFmtId="14" showAll="0">
      <items count="40">
        <item x="19"/>
        <item x="8"/>
        <item x="7"/>
        <item x="20"/>
        <item x="9"/>
        <item x="21"/>
        <item x="22"/>
        <item x="3"/>
        <item x="23"/>
        <item x="2"/>
        <item x="13"/>
        <item x="24"/>
        <item x="16"/>
        <item x="6"/>
        <item x="25"/>
        <item x="26"/>
        <item x="5"/>
        <item x="27"/>
        <item x="1"/>
        <item x="0"/>
        <item x="15"/>
        <item x="28"/>
        <item x="29"/>
        <item x="30"/>
        <item x="11"/>
        <item x="31"/>
        <item x="4"/>
        <item x="12"/>
        <item x="17"/>
        <item x="32"/>
        <item x="10"/>
        <item x="33"/>
        <item x="14"/>
        <item x="34"/>
        <item x="35"/>
        <item x="36"/>
        <item x="37"/>
        <item x="18"/>
        <item x="38"/>
        <item t="default"/>
      </items>
    </pivotField>
    <pivotField showAll="0"/>
    <pivotField showAll="0"/>
    <pivotField axis="axisRow" dataField="1" showAll="0">
      <items count="15">
        <item x="8"/>
        <item x="4"/>
        <item x="12"/>
        <item x="3"/>
        <item x="13"/>
        <item x="10"/>
        <item x="2"/>
        <item x="7"/>
        <item x="0"/>
        <item x="11"/>
        <item x="9"/>
        <item x="1"/>
        <item x="5"/>
        <item x="6"/>
        <item t="default"/>
      </items>
    </pivotField>
    <pivotField showAll="0"/>
    <pivotField axis="axisCol" showAll="0">
      <items count="6">
        <item x="2"/>
        <item x="4"/>
        <item x="0"/>
        <item x="3"/>
        <item x="1"/>
        <item t="default"/>
      </items>
    </pivotField>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15">
    <i>
      <x/>
    </i>
    <i>
      <x v="1"/>
    </i>
    <i>
      <x v="2"/>
    </i>
    <i>
      <x v="3"/>
    </i>
    <i>
      <x v="4"/>
    </i>
    <i>
      <x v="5"/>
    </i>
    <i>
      <x v="6"/>
    </i>
    <i>
      <x v="7"/>
    </i>
    <i>
      <x v="8"/>
    </i>
    <i>
      <x v="9"/>
    </i>
    <i>
      <x v="10"/>
    </i>
    <i>
      <x v="11"/>
    </i>
    <i>
      <x v="12"/>
    </i>
    <i>
      <x v="13"/>
    </i>
    <i t="grand">
      <x/>
    </i>
  </rowItems>
  <colFields count="1">
    <field x="5"/>
  </colFields>
  <colItems count="6">
    <i>
      <x/>
    </i>
    <i>
      <x v="1"/>
    </i>
    <i>
      <x v="2"/>
    </i>
    <i>
      <x v="3"/>
    </i>
    <i>
      <x v="4"/>
    </i>
    <i t="grand">
      <x/>
    </i>
  </colItems>
  <dataFields count="1">
    <dataField name="Count of State" fld="3" subtotal="count" baseField="0" baseItem="0"/>
  </dataFields>
  <chartFormats count="19">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4"/>
          </reference>
        </references>
      </pivotArea>
    </chartFormat>
    <chartFormat chart="0" format="5">
      <pivotArea type="data" outline="0" fieldPosition="0">
        <references count="3">
          <reference field="4294967294" count="1" selected="0">
            <x v="0"/>
          </reference>
          <reference field="3" count="1" selected="0">
            <x v="0"/>
          </reference>
          <reference field="5" count="1" selected="0">
            <x v="0"/>
          </reference>
        </references>
      </pivotArea>
    </chartFormat>
    <chartFormat chart="0" format="6">
      <pivotArea type="data" outline="0" fieldPosition="0">
        <references count="3">
          <reference field="4294967294" count="1" selected="0">
            <x v="0"/>
          </reference>
          <reference field="3" count="1" selected="0">
            <x v="1"/>
          </reference>
          <reference field="5" count="1" selected="0">
            <x v="0"/>
          </reference>
        </references>
      </pivotArea>
    </chartFormat>
    <chartFormat chart="0" format="7">
      <pivotArea type="data" outline="0" fieldPosition="0">
        <references count="3">
          <reference field="4294967294" count="1" selected="0">
            <x v="0"/>
          </reference>
          <reference field="3" count="1" selected="0">
            <x v="2"/>
          </reference>
          <reference field="5" count="1" selected="0">
            <x v="0"/>
          </reference>
        </references>
      </pivotArea>
    </chartFormat>
    <chartFormat chart="0" format="8">
      <pivotArea type="data" outline="0" fieldPosition="0">
        <references count="3">
          <reference field="4294967294" count="1" selected="0">
            <x v="0"/>
          </reference>
          <reference field="3" count="1" selected="0">
            <x v="3"/>
          </reference>
          <reference field="5" count="1" selected="0">
            <x v="0"/>
          </reference>
        </references>
      </pivotArea>
    </chartFormat>
    <chartFormat chart="0" format="9">
      <pivotArea type="data" outline="0" fieldPosition="0">
        <references count="3">
          <reference field="4294967294" count="1" selected="0">
            <x v="0"/>
          </reference>
          <reference field="3" count="1" selected="0">
            <x v="4"/>
          </reference>
          <reference field="5" count="1" selected="0">
            <x v="0"/>
          </reference>
        </references>
      </pivotArea>
    </chartFormat>
    <chartFormat chart="0" format="10">
      <pivotArea type="data" outline="0" fieldPosition="0">
        <references count="3">
          <reference field="4294967294" count="1" selected="0">
            <x v="0"/>
          </reference>
          <reference field="3" count="1" selected="0">
            <x v="5"/>
          </reference>
          <reference field="5" count="1" selected="0">
            <x v="0"/>
          </reference>
        </references>
      </pivotArea>
    </chartFormat>
    <chartFormat chart="0" format="11">
      <pivotArea type="data" outline="0" fieldPosition="0">
        <references count="3">
          <reference field="4294967294" count="1" selected="0">
            <x v="0"/>
          </reference>
          <reference field="3" count="1" selected="0">
            <x v="6"/>
          </reference>
          <reference field="5" count="1" selected="0">
            <x v="0"/>
          </reference>
        </references>
      </pivotArea>
    </chartFormat>
    <chartFormat chart="0" format="12">
      <pivotArea type="data" outline="0" fieldPosition="0">
        <references count="3">
          <reference field="4294967294" count="1" selected="0">
            <x v="0"/>
          </reference>
          <reference field="3" count="1" selected="0">
            <x v="7"/>
          </reference>
          <reference field="5" count="1" selected="0">
            <x v="0"/>
          </reference>
        </references>
      </pivotArea>
    </chartFormat>
    <chartFormat chart="0" format="13">
      <pivotArea type="data" outline="0" fieldPosition="0">
        <references count="3">
          <reference field="4294967294" count="1" selected="0">
            <x v="0"/>
          </reference>
          <reference field="3" count="1" selected="0">
            <x v="8"/>
          </reference>
          <reference field="5" count="1" selected="0">
            <x v="0"/>
          </reference>
        </references>
      </pivotArea>
    </chartFormat>
    <chartFormat chart="0" format="14">
      <pivotArea type="data" outline="0" fieldPosition="0">
        <references count="3">
          <reference field="4294967294" count="1" selected="0">
            <x v="0"/>
          </reference>
          <reference field="3" count="1" selected="0">
            <x v="9"/>
          </reference>
          <reference field="5" count="1" selected="0">
            <x v="0"/>
          </reference>
        </references>
      </pivotArea>
    </chartFormat>
    <chartFormat chart="0" format="15">
      <pivotArea type="data" outline="0" fieldPosition="0">
        <references count="3">
          <reference field="4294967294" count="1" selected="0">
            <x v="0"/>
          </reference>
          <reference field="3" count="1" selected="0">
            <x v="10"/>
          </reference>
          <reference field="5" count="1" selected="0">
            <x v="0"/>
          </reference>
        </references>
      </pivotArea>
    </chartFormat>
    <chartFormat chart="0" format="16">
      <pivotArea type="data" outline="0" fieldPosition="0">
        <references count="3">
          <reference field="4294967294" count="1" selected="0">
            <x v="0"/>
          </reference>
          <reference field="3" count="1" selected="0">
            <x v="11"/>
          </reference>
          <reference field="5" count="1" selected="0">
            <x v="0"/>
          </reference>
        </references>
      </pivotArea>
    </chartFormat>
    <chartFormat chart="0" format="17">
      <pivotArea type="data" outline="0" fieldPosition="0">
        <references count="3">
          <reference field="4294967294" count="1" selected="0">
            <x v="0"/>
          </reference>
          <reference field="3" count="1" selected="0">
            <x v="12"/>
          </reference>
          <reference field="5" count="1" selected="0">
            <x v="0"/>
          </reference>
        </references>
      </pivotArea>
    </chartFormat>
    <chartFormat chart="0" format="18">
      <pivotArea type="data" outline="0" fieldPosition="0">
        <references count="3">
          <reference field="4294967294" count="1" selected="0">
            <x v="0"/>
          </reference>
          <reference field="3" count="1" selected="0">
            <x v="13"/>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BFAD62-8842-470E-86D8-FC3BE0C190F3}"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E12" firstHeaderRow="1" firstDataRow="2" firstDataCol="1" rowPageCount="1" colPageCount="1"/>
  <pivotFields count="12">
    <pivotField numFmtId="14" showAll="0">
      <items count="40">
        <item x="19"/>
        <item x="8"/>
        <item x="7"/>
        <item x="20"/>
        <item x="9"/>
        <item x="21"/>
        <item x="22"/>
        <item x="3"/>
        <item x="23"/>
        <item x="2"/>
        <item x="13"/>
        <item x="24"/>
        <item x="16"/>
        <item x="6"/>
        <item x="25"/>
        <item x="26"/>
        <item x="5"/>
        <item x="27"/>
        <item x="1"/>
        <item x="0"/>
        <item x="15"/>
        <item x="28"/>
        <item x="29"/>
        <item x="30"/>
        <item x="11"/>
        <item x="31"/>
        <item x="4"/>
        <item x="12"/>
        <item x="17"/>
        <item x="32"/>
        <item x="10"/>
        <item x="33"/>
        <item x="14"/>
        <item x="34"/>
        <item x="35"/>
        <item x="36"/>
        <item x="37"/>
        <item x="18"/>
        <item x="38"/>
        <item t="default"/>
      </items>
    </pivotField>
    <pivotField showAll="0">
      <items count="31">
        <item x="5"/>
        <item x="7"/>
        <item x="18"/>
        <item x="6"/>
        <item x="27"/>
        <item x="12"/>
        <item x="26"/>
        <item x="19"/>
        <item x="15"/>
        <item x="4"/>
        <item x="8"/>
        <item x="13"/>
        <item x="28"/>
        <item x="24"/>
        <item x="0"/>
        <item x="20"/>
        <item x="1"/>
        <item x="11"/>
        <item x="2"/>
        <item x="25"/>
        <item x="22"/>
        <item x="9"/>
        <item x="10"/>
        <item x="21"/>
        <item x="16"/>
        <item x="23"/>
        <item x="29"/>
        <item x="17"/>
        <item x="14"/>
        <item x="3"/>
        <item t="default"/>
      </items>
    </pivotField>
    <pivotField showAll="0"/>
    <pivotField axis="axisRow" showAll="0">
      <items count="15">
        <item x="8"/>
        <item x="4"/>
        <item x="12"/>
        <item x="3"/>
        <item x="13"/>
        <item x="10"/>
        <item x="2"/>
        <item x="7"/>
        <item x="0"/>
        <item x="11"/>
        <item x="9"/>
        <item x="1"/>
        <item x="5"/>
        <item x="6"/>
        <item t="default"/>
      </items>
    </pivotField>
    <pivotField axis="axisCol" showAll="0">
      <items count="6">
        <item x="4"/>
        <item x="3"/>
        <item x="2"/>
        <item x="1"/>
        <item x="0"/>
        <item t="default"/>
      </items>
    </pivotField>
    <pivotField axis="axisPage" showAll="0">
      <items count="6">
        <item x="2"/>
        <item x="4"/>
        <item x="0"/>
        <item x="3"/>
        <item x="1"/>
        <item t="default"/>
      </items>
    </pivotField>
    <pivotField showAll="0">
      <items count="30">
        <item x="24"/>
        <item x="20"/>
        <item x="13"/>
        <item x="19"/>
        <item x="2"/>
        <item x="4"/>
        <item x="27"/>
        <item x="5"/>
        <item x="11"/>
        <item x="16"/>
        <item x="6"/>
        <item x="3"/>
        <item x="21"/>
        <item x="25"/>
        <item x="14"/>
        <item x="7"/>
        <item x="18"/>
        <item x="9"/>
        <item x="1"/>
        <item x="26"/>
        <item x="8"/>
        <item x="23"/>
        <item x="12"/>
        <item x="28"/>
        <item x="10"/>
        <item x="0"/>
        <item x="17"/>
        <item x="22"/>
        <item x="15"/>
        <item t="default"/>
      </items>
    </pivotField>
    <pivotField dataField="1"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3"/>
  </rowFields>
  <rowItems count="8">
    <i>
      <x v="1"/>
    </i>
    <i>
      <x v="2"/>
    </i>
    <i>
      <x v="3"/>
    </i>
    <i>
      <x v="6"/>
    </i>
    <i>
      <x v="8"/>
    </i>
    <i>
      <x v="11"/>
    </i>
    <i>
      <x v="12"/>
    </i>
    <i t="grand">
      <x/>
    </i>
  </rowItems>
  <colFields count="1">
    <field x="4"/>
  </colFields>
  <colItems count="4">
    <i>
      <x v="2"/>
    </i>
    <i>
      <x v="3"/>
    </i>
    <i>
      <x v="4"/>
    </i>
    <i t="grand">
      <x/>
    </i>
  </colItems>
  <pageFields count="1">
    <pageField fld="5" item="0" hier="-1"/>
  </pageFields>
  <dataFields count="1">
    <dataField name="Sum of Quantity" fld="7" baseField="0" baseItem="0"/>
  </dataFields>
  <chartFormats count="3">
    <chartFormat chart="1" format="0" series="1">
      <pivotArea type="data" outline="0" fieldPosition="0">
        <references count="2">
          <reference field="4294967294" count="1" selected="0">
            <x v="0"/>
          </reference>
          <reference field="4" count="1" selected="0">
            <x v="2"/>
          </reference>
        </references>
      </pivotArea>
    </chartFormat>
    <chartFormat chart="1" format="1" series="1">
      <pivotArea type="data" outline="0" fieldPosition="0">
        <references count="2">
          <reference field="4294967294" count="1" selected="0">
            <x v="0"/>
          </reference>
          <reference field="4" count="1" selected="0">
            <x v="3"/>
          </reference>
        </references>
      </pivotArea>
    </chartFormat>
    <chartFormat chart="1" format="2"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9BFAD62-8842-470E-86D8-FC3BE0C190F3}"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E12" firstHeaderRow="1" firstDataRow="2" firstDataCol="1" rowPageCount="1" colPageCount="1"/>
  <pivotFields count="12">
    <pivotField numFmtId="14" showAll="0">
      <items count="40">
        <item x="19"/>
        <item x="8"/>
        <item x="7"/>
        <item x="20"/>
        <item x="9"/>
        <item x="21"/>
        <item x="22"/>
        <item x="3"/>
        <item x="23"/>
        <item x="2"/>
        <item x="13"/>
        <item x="24"/>
        <item x="16"/>
        <item x="6"/>
        <item x="25"/>
        <item x="26"/>
        <item x="5"/>
        <item x="27"/>
        <item x="1"/>
        <item x="0"/>
        <item x="15"/>
        <item x="28"/>
        <item x="29"/>
        <item x="30"/>
        <item x="11"/>
        <item x="31"/>
        <item x="4"/>
        <item x="12"/>
        <item x="17"/>
        <item x="32"/>
        <item x="10"/>
        <item x="33"/>
        <item x="14"/>
        <item x="34"/>
        <item x="35"/>
        <item x="36"/>
        <item x="37"/>
        <item x="18"/>
        <item x="38"/>
        <item t="default"/>
      </items>
    </pivotField>
    <pivotField showAll="0">
      <items count="31">
        <item x="5"/>
        <item x="7"/>
        <item x="18"/>
        <item x="6"/>
        <item x="27"/>
        <item x="12"/>
        <item x="26"/>
        <item x="19"/>
        <item x="15"/>
        <item x="4"/>
        <item x="8"/>
        <item x="13"/>
        <item x="28"/>
        <item x="24"/>
        <item x="0"/>
        <item x="20"/>
        <item x="1"/>
        <item x="11"/>
        <item x="2"/>
        <item x="25"/>
        <item x="22"/>
        <item x="9"/>
        <item x="10"/>
        <item x="21"/>
        <item x="16"/>
        <item x="23"/>
        <item x="29"/>
        <item x="17"/>
        <item x="14"/>
        <item x="3"/>
        <item t="default"/>
      </items>
    </pivotField>
    <pivotField showAll="0"/>
    <pivotField axis="axisRow" showAll="0">
      <items count="15">
        <item x="8"/>
        <item x="4"/>
        <item x="12"/>
        <item x="3"/>
        <item x="13"/>
        <item x="10"/>
        <item x="2"/>
        <item x="7"/>
        <item x="0"/>
        <item x="11"/>
        <item x="9"/>
        <item x="1"/>
        <item x="5"/>
        <item x="6"/>
        <item t="default"/>
      </items>
    </pivotField>
    <pivotField axis="axisCol" showAll="0">
      <items count="6">
        <item x="4"/>
        <item x="3"/>
        <item x="2"/>
        <item x="1"/>
        <item x="0"/>
        <item t="default"/>
      </items>
    </pivotField>
    <pivotField axis="axisPage" showAll="0">
      <items count="6">
        <item x="2"/>
        <item x="4"/>
        <item x="0"/>
        <item x="3"/>
        <item x="1"/>
        <item t="default"/>
      </items>
    </pivotField>
    <pivotField showAll="0">
      <items count="30">
        <item x="24"/>
        <item x="20"/>
        <item x="13"/>
        <item x="19"/>
        <item x="2"/>
        <item x="4"/>
        <item x="27"/>
        <item x="5"/>
        <item x="11"/>
        <item x="16"/>
        <item x="6"/>
        <item x="3"/>
        <item x="21"/>
        <item x="25"/>
        <item x="14"/>
        <item x="7"/>
        <item x="18"/>
        <item x="9"/>
        <item x="1"/>
        <item x="26"/>
        <item x="8"/>
        <item x="23"/>
        <item x="12"/>
        <item x="28"/>
        <item x="10"/>
        <item x="0"/>
        <item x="17"/>
        <item x="22"/>
        <item x="15"/>
        <item t="default"/>
      </items>
    </pivotField>
    <pivotField dataField="1"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3"/>
  </rowFields>
  <rowItems count="8">
    <i>
      <x v="1"/>
    </i>
    <i>
      <x v="2"/>
    </i>
    <i>
      <x v="3"/>
    </i>
    <i>
      <x v="6"/>
    </i>
    <i>
      <x v="8"/>
    </i>
    <i>
      <x v="11"/>
    </i>
    <i>
      <x v="12"/>
    </i>
    <i t="grand">
      <x/>
    </i>
  </rowItems>
  <colFields count="1">
    <field x="4"/>
  </colFields>
  <colItems count="4">
    <i>
      <x v="2"/>
    </i>
    <i>
      <x v="3"/>
    </i>
    <i>
      <x v="4"/>
    </i>
    <i t="grand">
      <x/>
    </i>
  </colItems>
  <pageFields count="1">
    <pageField fld="5" item="0" hier="-1"/>
  </pageFields>
  <dataFields count="1">
    <dataField name="Sum of Quantity" fld="7" baseField="0" baseItem="0"/>
  </dataFields>
  <chartFormats count="25">
    <chartFormat chart="0" format="0" series="1">
      <pivotArea type="data" outline="0" fieldPosition="0">
        <references count="2">
          <reference field="4294967294" count="1" selected="0">
            <x v="0"/>
          </reference>
          <reference field="4" count="1" selected="0">
            <x v="1"/>
          </reference>
        </references>
      </pivotArea>
    </chartFormat>
    <chartFormat chart="0" format="1" series="1">
      <pivotArea type="data" outline="0" fieldPosition="0">
        <references count="2">
          <reference field="4294967294" count="1" selected="0">
            <x v="0"/>
          </reference>
          <reference field="4" count="1" selected="0">
            <x v="2"/>
          </reference>
        </references>
      </pivotArea>
    </chartFormat>
    <chartFormat chart="0" format="2" series="1">
      <pivotArea type="data" outline="0" fieldPosition="0">
        <references count="2">
          <reference field="4294967294" count="1" selected="0">
            <x v="0"/>
          </reference>
          <reference field="4" count="1" selected="0">
            <x v="3"/>
          </reference>
        </references>
      </pivotArea>
    </chartFormat>
    <chartFormat chart="0" format="3" series="1">
      <pivotArea type="data" outline="0" fieldPosition="0">
        <references count="2">
          <reference field="4294967294" count="1" selected="0">
            <x v="0"/>
          </reference>
          <reference field="4" count="1" selected="0">
            <x v="4"/>
          </reference>
        </references>
      </pivotArea>
    </chartFormat>
    <chartFormat chart="0" format="4">
      <pivotArea type="data" outline="0" fieldPosition="0">
        <references count="3">
          <reference field="4294967294" count="1" selected="0">
            <x v="0"/>
          </reference>
          <reference field="3" count="1" selected="0">
            <x v="1"/>
          </reference>
          <reference field="4" count="1" selected="0">
            <x v="2"/>
          </reference>
        </references>
      </pivotArea>
    </chartFormat>
    <chartFormat chart="0" format="5">
      <pivotArea type="data" outline="0" fieldPosition="0">
        <references count="3">
          <reference field="4294967294" count="1" selected="0">
            <x v="0"/>
          </reference>
          <reference field="3" count="1" selected="0">
            <x v="2"/>
          </reference>
          <reference field="4" count="1" selected="0">
            <x v="2"/>
          </reference>
        </references>
      </pivotArea>
    </chartFormat>
    <chartFormat chart="0" format="6">
      <pivotArea type="data" outline="0" fieldPosition="0">
        <references count="3">
          <reference field="4294967294" count="1" selected="0">
            <x v="0"/>
          </reference>
          <reference field="3" count="1" selected="0">
            <x v="3"/>
          </reference>
          <reference field="4" count="1" selected="0">
            <x v="2"/>
          </reference>
        </references>
      </pivotArea>
    </chartFormat>
    <chartFormat chart="0" format="7">
      <pivotArea type="data" outline="0" fieldPosition="0">
        <references count="3">
          <reference field="4294967294" count="1" selected="0">
            <x v="0"/>
          </reference>
          <reference field="3" count="1" selected="0">
            <x v="6"/>
          </reference>
          <reference field="4" count="1" selected="0">
            <x v="2"/>
          </reference>
        </references>
      </pivotArea>
    </chartFormat>
    <chartFormat chart="0" format="8">
      <pivotArea type="data" outline="0" fieldPosition="0">
        <references count="3">
          <reference field="4294967294" count="1" selected="0">
            <x v="0"/>
          </reference>
          <reference field="3" count="1" selected="0">
            <x v="8"/>
          </reference>
          <reference field="4" count="1" selected="0">
            <x v="2"/>
          </reference>
        </references>
      </pivotArea>
    </chartFormat>
    <chartFormat chart="0" format="9">
      <pivotArea type="data" outline="0" fieldPosition="0">
        <references count="3">
          <reference field="4294967294" count="1" selected="0">
            <x v="0"/>
          </reference>
          <reference field="3" count="1" selected="0">
            <x v="11"/>
          </reference>
          <reference field="4" count="1" selected="0">
            <x v="2"/>
          </reference>
        </references>
      </pivotArea>
    </chartFormat>
    <chartFormat chart="0" format="10">
      <pivotArea type="data" outline="0" fieldPosition="0">
        <references count="3">
          <reference field="4294967294" count="1" selected="0">
            <x v="0"/>
          </reference>
          <reference field="3" count="1" selected="0">
            <x v="12"/>
          </reference>
          <reference field="4" count="1" selected="0">
            <x v="2"/>
          </reference>
        </references>
      </pivotArea>
    </chartFormat>
    <chartFormat chart="0" format="11">
      <pivotArea type="data" outline="0" fieldPosition="0">
        <references count="3">
          <reference field="4294967294" count="1" selected="0">
            <x v="0"/>
          </reference>
          <reference field="3" count="1" selected="0">
            <x v="1"/>
          </reference>
          <reference field="4" count="1" selected="0">
            <x v="3"/>
          </reference>
        </references>
      </pivotArea>
    </chartFormat>
    <chartFormat chart="0" format="12">
      <pivotArea type="data" outline="0" fieldPosition="0">
        <references count="3">
          <reference field="4294967294" count="1" selected="0">
            <x v="0"/>
          </reference>
          <reference field="3" count="1" selected="0">
            <x v="2"/>
          </reference>
          <reference field="4" count="1" selected="0">
            <x v="3"/>
          </reference>
        </references>
      </pivotArea>
    </chartFormat>
    <chartFormat chart="0" format="13">
      <pivotArea type="data" outline="0" fieldPosition="0">
        <references count="3">
          <reference field="4294967294" count="1" selected="0">
            <x v="0"/>
          </reference>
          <reference field="3" count="1" selected="0">
            <x v="3"/>
          </reference>
          <reference field="4" count="1" selected="0">
            <x v="3"/>
          </reference>
        </references>
      </pivotArea>
    </chartFormat>
    <chartFormat chart="0" format="14">
      <pivotArea type="data" outline="0" fieldPosition="0">
        <references count="3">
          <reference field="4294967294" count="1" selected="0">
            <x v="0"/>
          </reference>
          <reference field="3" count="1" selected="0">
            <x v="6"/>
          </reference>
          <reference field="4" count="1" selected="0">
            <x v="3"/>
          </reference>
        </references>
      </pivotArea>
    </chartFormat>
    <chartFormat chart="0" format="15">
      <pivotArea type="data" outline="0" fieldPosition="0">
        <references count="3">
          <reference field="4294967294" count="1" selected="0">
            <x v="0"/>
          </reference>
          <reference field="3" count="1" selected="0">
            <x v="8"/>
          </reference>
          <reference field="4" count="1" selected="0">
            <x v="3"/>
          </reference>
        </references>
      </pivotArea>
    </chartFormat>
    <chartFormat chart="0" format="16">
      <pivotArea type="data" outline="0" fieldPosition="0">
        <references count="3">
          <reference field="4294967294" count="1" selected="0">
            <x v="0"/>
          </reference>
          <reference field="3" count="1" selected="0">
            <x v="11"/>
          </reference>
          <reference field="4" count="1" selected="0">
            <x v="3"/>
          </reference>
        </references>
      </pivotArea>
    </chartFormat>
    <chartFormat chart="0" format="17">
      <pivotArea type="data" outline="0" fieldPosition="0">
        <references count="3">
          <reference field="4294967294" count="1" selected="0">
            <x v="0"/>
          </reference>
          <reference field="3" count="1" selected="0">
            <x v="12"/>
          </reference>
          <reference field="4" count="1" selected="0">
            <x v="3"/>
          </reference>
        </references>
      </pivotArea>
    </chartFormat>
    <chartFormat chart="0" format="18">
      <pivotArea type="data" outline="0" fieldPosition="0">
        <references count="3">
          <reference field="4294967294" count="1" selected="0">
            <x v="0"/>
          </reference>
          <reference field="3" count="1" selected="0">
            <x v="1"/>
          </reference>
          <reference field="4" count="1" selected="0">
            <x v="4"/>
          </reference>
        </references>
      </pivotArea>
    </chartFormat>
    <chartFormat chart="0" format="19">
      <pivotArea type="data" outline="0" fieldPosition="0">
        <references count="3">
          <reference field="4294967294" count="1" selected="0">
            <x v="0"/>
          </reference>
          <reference field="3" count="1" selected="0">
            <x v="2"/>
          </reference>
          <reference field="4" count="1" selected="0">
            <x v="4"/>
          </reference>
        </references>
      </pivotArea>
    </chartFormat>
    <chartFormat chart="0" format="20">
      <pivotArea type="data" outline="0" fieldPosition="0">
        <references count="3">
          <reference field="4294967294" count="1" selected="0">
            <x v="0"/>
          </reference>
          <reference field="3" count="1" selected="0">
            <x v="3"/>
          </reference>
          <reference field="4" count="1" selected="0">
            <x v="4"/>
          </reference>
        </references>
      </pivotArea>
    </chartFormat>
    <chartFormat chart="0" format="21">
      <pivotArea type="data" outline="0" fieldPosition="0">
        <references count="3">
          <reference field="4294967294" count="1" selected="0">
            <x v="0"/>
          </reference>
          <reference field="3" count="1" selected="0">
            <x v="6"/>
          </reference>
          <reference field="4" count="1" selected="0">
            <x v="4"/>
          </reference>
        </references>
      </pivotArea>
    </chartFormat>
    <chartFormat chart="0" format="22">
      <pivotArea type="data" outline="0" fieldPosition="0">
        <references count="3">
          <reference field="4294967294" count="1" selected="0">
            <x v="0"/>
          </reference>
          <reference field="3" count="1" selected="0">
            <x v="8"/>
          </reference>
          <reference field="4" count="1" selected="0">
            <x v="4"/>
          </reference>
        </references>
      </pivotArea>
    </chartFormat>
    <chartFormat chart="0" format="23">
      <pivotArea type="data" outline="0" fieldPosition="0">
        <references count="3">
          <reference field="4294967294" count="1" selected="0">
            <x v="0"/>
          </reference>
          <reference field="3" count="1" selected="0">
            <x v="11"/>
          </reference>
          <reference field="4" count="1" selected="0">
            <x v="4"/>
          </reference>
        </references>
      </pivotArea>
    </chartFormat>
    <chartFormat chart="0" format="24">
      <pivotArea type="data" outline="0" fieldPosition="0">
        <references count="3">
          <reference field="4294967294" count="1" selected="0">
            <x v="0"/>
          </reference>
          <reference field="3" count="1" selected="0">
            <x v="12"/>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9BFAD62-8842-470E-86D8-FC3BE0C190F3}"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G10" firstHeaderRow="1" firstDataRow="2" firstDataCol="1" rowPageCount="1" colPageCount="1"/>
  <pivotFields count="12">
    <pivotField numFmtId="14" showAll="0">
      <items count="40">
        <item x="19"/>
        <item x="8"/>
        <item x="7"/>
        <item x="20"/>
        <item x="9"/>
        <item x="21"/>
        <item x="22"/>
        <item x="3"/>
        <item x="23"/>
        <item x="2"/>
        <item x="13"/>
        <item x="24"/>
        <item x="16"/>
        <item x="6"/>
        <item x="25"/>
        <item x="26"/>
        <item x="5"/>
        <item x="27"/>
        <item x="1"/>
        <item x="0"/>
        <item x="15"/>
        <item x="28"/>
        <item x="29"/>
        <item x="30"/>
        <item x="11"/>
        <item x="31"/>
        <item x="4"/>
        <item x="12"/>
        <item x="17"/>
        <item x="32"/>
        <item x="10"/>
        <item x="33"/>
        <item x="14"/>
        <item x="34"/>
        <item x="35"/>
        <item x="36"/>
        <item x="37"/>
        <item x="18"/>
        <item x="38"/>
        <item t="default"/>
      </items>
    </pivotField>
    <pivotField showAll="0">
      <items count="31">
        <item x="5"/>
        <item x="7"/>
        <item x="18"/>
        <item x="6"/>
        <item x="27"/>
        <item x="12"/>
        <item x="26"/>
        <item x="19"/>
        <item x="15"/>
        <item x="4"/>
        <item x="8"/>
        <item x="13"/>
        <item x="28"/>
        <item x="24"/>
        <item x="0"/>
        <item x="20"/>
        <item x="1"/>
        <item x="11"/>
        <item x="2"/>
        <item x="25"/>
        <item x="22"/>
        <item x="9"/>
        <item x="10"/>
        <item x="21"/>
        <item x="16"/>
        <item x="23"/>
        <item x="29"/>
        <item x="17"/>
        <item x="14"/>
        <item x="3"/>
        <item t="default"/>
      </items>
    </pivotField>
    <pivotField showAll="0"/>
    <pivotField axis="axisRow" showAll="0">
      <items count="15">
        <item x="8"/>
        <item x="4"/>
        <item x="12"/>
        <item x="3"/>
        <item x="13"/>
        <item x="10"/>
        <item x="2"/>
        <item x="7"/>
        <item x="0"/>
        <item x="11"/>
        <item x="9"/>
        <item x="1"/>
        <item x="5"/>
        <item x="6"/>
        <item t="default"/>
      </items>
    </pivotField>
    <pivotField axis="axisCol" showAll="0">
      <items count="6">
        <item x="4"/>
        <item x="3"/>
        <item x="2"/>
        <item x="1"/>
        <item x="0"/>
        <item t="default"/>
      </items>
    </pivotField>
    <pivotField axis="axisPage" showAll="0">
      <items count="6">
        <item x="2"/>
        <item x="4"/>
        <item x="0"/>
        <item x="3"/>
        <item x="1"/>
        <item t="default"/>
      </items>
    </pivotField>
    <pivotField showAll="0">
      <items count="30">
        <item x="24"/>
        <item x="20"/>
        <item x="13"/>
        <item x="19"/>
        <item x="2"/>
        <item x="4"/>
        <item x="27"/>
        <item x="5"/>
        <item x="11"/>
        <item x="16"/>
        <item x="6"/>
        <item x="3"/>
        <item x="21"/>
        <item x="25"/>
        <item x="14"/>
        <item x="7"/>
        <item x="18"/>
        <item x="9"/>
        <item x="1"/>
        <item x="26"/>
        <item x="8"/>
        <item x="23"/>
        <item x="12"/>
        <item x="28"/>
        <item x="10"/>
        <item x="0"/>
        <item x="17"/>
        <item x="22"/>
        <item x="15"/>
        <item t="default"/>
      </items>
    </pivotField>
    <pivotField dataField="1"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3"/>
  </rowFields>
  <rowItems count="6">
    <i>
      <x v="1"/>
    </i>
    <i>
      <x v="5"/>
    </i>
    <i>
      <x v="7"/>
    </i>
    <i>
      <x v="8"/>
    </i>
    <i>
      <x v="11"/>
    </i>
    <i t="grand">
      <x/>
    </i>
  </rowItems>
  <colFields count="1">
    <field x="4"/>
  </colFields>
  <colItems count="6">
    <i>
      <x/>
    </i>
    <i>
      <x v="1"/>
    </i>
    <i>
      <x v="2"/>
    </i>
    <i>
      <x v="3"/>
    </i>
    <i>
      <x v="4"/>
    </i>
    <i t="grand">
      <x/>
    </i>
  </colItems>
  <pageFields count="1">
    <pageField fld="5" item="2" hier="-1"/>
  </pageFields>
  <dataFields count="1">
    <dataField name="Sum of Quantity" fld="7" baseField="0" baseItem="0"/>
  </dataFields>
  <chartFormats count="5">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9BFAD62-8842-470E-86D8-FC3BE0C190F3}"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F11" firstHeaderRow="1" firstDataRow="2" firstDataCol="1" rowPageCount="1" colPageCount="1"/>
  <pivotFields count="12">
    <pivotField numFmtId="14" showAll="0">
      <items count="40">
        <item x="19"/>
        <item x="8"/>
        <item x="7"/>
        <item x="20"/>
        <item x="9"/>
        <item x="21"/>
        <item x="22"/>
        <item x="3"/>
        <item x="23"/>
        <item x="2"/>
        <item x="13"/>
        <item x="24"/>
        <item x="16"/>
        <item x="6"/>
        <item x="25"/>
        <item x="26"/>
        <item x="5"/>
        <item x="27"/>
        <item x="1"/>
        <item x="0"/>
        <item x="15"/>
        <item x="28"/>
        <item x="29"/>
        <item x="30"/>
        <item x="11"/>
        <item x="31"/>
        <item x="4"/>
        <item x="12"/>
        <item x="17"/>
        <item x="32"/>
        <item x="10"/>
        <item x="33"/>
        <item x="14"/>
        <item x="34"/>
        <item x="35"/>
        <item x="36"/>
        <item x="37"/>
        <item x="18"/>
        <item x="38"/>
        <item t="default"/>
      </items>
    </pivotField>
    <pivotField showAll="0">
      <items count="31">
        <item x="5"/>
        <item x="7"/>
        <item x="18"/>
        <item x="6"/>
        <item x="27"/>
        <item x="12"/>
        <item x="26"/>
        <item x="19"/>
        <item x="15"/>
        <item x="4"/>
        <item x="8"/>
        <item x="13"/>
        <item x="28"/>
        <item x="24"/>
        <item x="0"/>
        <item x="20"/>
        <item x="1"/>
        <item x="11"/>
        <item x="2"/>
        <item x="25"/>
        <item x="22"/>
        <item x="9"/>
        <item x="10"/>
        <item x="21"/>
        <item x="16"/>
        <item x="23"/>
        <item x="29"/>
        <item x="17"/>
        <item x="14"/>
        <item x="3"/>
        <item t="default"/>
      </items>
    </pivotField>
    <pivotField showAll="0"/>
    <pivotField axis="axisRow" showAll="0">
      <items count="15">
        <item x="8"/>
        <item x="4"/>
        <item x="12"/>
        <item x="3"/>
        <item x="13"/>
        <item x="10"/>
        <item x="2"/>
        <item x="7"/>
        <item x="0"/>
        <item x="11"/>
        <item x="9"/>
        <item x="1"/>
        <item x="5"/>
        <item x="6"/>
        <item t="default"/>
      </items>
    </pivotField>
    <pivotField axis="axisCol" showAll="0">
      <items count="6">
        <item x="4"/>
        <item x="3"/>
        <item x="2"/>
        <item x="1"/>
        <item x="0"/>
        <item t="default"/>
      </items>
    </pivotField>
    <pivotField axis="axisPage" showAll="0">
      <items count="6">
        <item x="2"/>
        <item x="4"/>
        <item x="0"/>
        <item x="3"/>
        <item x="1"/>
        <item t="default"/>
      </items>
    </pivotField>
    <pivotField showAll="0">
      <items count="30">
        <item x="24"/>
        <item x="20"/>
        <item x="13"/>
        <item x="19"/>
        <item x="2"/>
        <item x="4"/>
        <item x="27"/>
        <item x="5"/>
        <item x="11"/>
        <item x="16"/>
        <item x="6"/>
        <item x="3"/>
        <item x="21"/>
        <item x="25"/>
        <item x="14"/>
        <item x="7"/>
        <item x="18"/>
        <item x="9"/>
        <item x="1"/>
        <item x="26"/>
        <item x="8"/>
        <item x="23"/>
        <item x="12"/>
        <item x="28"/>
        <item x="10"/>
        <item x="0"/>
        <item x="17"/>
        <item x="22"/>
        <item x="15"/>
        <item t="default"/>
      </items>
    </pivotField>
    <pivotField dataField="1"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3"/>
  </rowFields>
  <rowItems count="7">
    <i>
      <x/>
    </i>
    <i>
      <x v="3"/>
    </i>
    <i>
      <x v="6"/>
    </i>
    <i>
      <x v="8"/>
    </i>
    <i>
      <x v="9"/>
    </i>
    <i>
      <x v="11"/>
    </i>
    <i t="grand">
      <x/>
    </i>
  </rowItems>
  <colFields count="1">
    <field x="4"/>
  </colFields>
  <colItems count="5">
    <i>
      <x v="1"/>
    </i>
    <i>
      <x v="2"/>
    </i>
    <i>
      <x v="3"/>
    </i>
    <i>
      <x v="4"/>
    </i>
    <i t="grand">
      <x/>
    </i>
  </colItems>
  <pageFields count="1">
    <pageField fld="5" item="3" hier="-1"/>
  </pageFields>
  <dataFields count="1">
    <dataField name="Sum of Quantity" fld="7" baseField="0" baseItem="0"/>
  </dataFields>
  <chartFormats count="4">
    <chartFormat chart="0" format="0" series="1">
      <pivotArea type="data" outline="0" fieldPosition="0">
        <references count="2">
          <reference field="4294967294" count="1" selected="0">
            <x v="0"/>
          </reference>
          <reference field="4" count="1" selected="0">
            <x v="1"/>
          </reference>
        </references>
      </pivotArea>
    </chartFormat>
    <chartFormat chart="0" format="1" series="1">
      <pivotArea type="data" outline="0" fieldPosition="0">
        <references count="2">
          <reference field="4294967294" count="1" selected="0">
            <x v="0"/>
          </reference>
          <reference field="4" count="1" selected="0">
            <x v="2"/>
          </reference>
        </references>
      </pivotArea>
    </chartFormat>
    <chartFormat chart="0" format="2" series="1">
      <pivotArea type="data" outline="0" fieldPosition="0">
        <references count="2">
          <reference field="4294967294" count="1" selected="0">
            <x v="0"/>
          </reference>
          <reference field="4" count="1" selected="0">
            <x v="3"/>
          </reference>
        </references>
      </pivotArea>
    </chartFormat>
    <chartFormat chart="0" format="3"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9BFAD62-8842-470E-86D8-FC3BE0C190F3}"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E11" firstHeaderRow="1" firstDataRow="2" firstDataCol="1" rowPageCount="1" colPageCount="1"/>
  <pivotFields count="12">
    <pivotField numFmtId="14" showAll="0">
      <items count="40">
        <item x="19"/>
        <item x="8"/>
        <item x="7"/>
        <item x="20"/>
        <item x="9"/>
        <item x="21"/>
        <item x="22"/>
        <item x="3"/>
        <item x="23"/>
        <item x="2"/>
        <item x="13"/>
        <item x="24"/>
        <item x="16"/>
        <item x="6"/>
        <item x="25"/>
        <item x="26"/>
        <item x="5"/>
        <item x="27"/>
        <item x="1"/>
        <item x="0"/>
        <item x="15"/>
        <item x="28"/>
        <item x="29"/>
        <item x="30"/>
        <item x="11"/>
        <item x="31"/>
        <item x="4"/>
        <item x="12"/>
        <item x="17"/>
        <item x="32"/>
        <item x="10"/>
        <item x="33"/>
        <item x="14"/>
        <item x="34"/>
        <item x="35"/>
        <item x="36"/>
        <item x="37"/>
        <item x="18"/>
        <item x="38"/>
        <item t="default"/>
      </items>
    </pivotField>
    <pivotField showAll="0">
      <items count="31">
        <item x="5"/>
        <item x="7"/>
        <item x="18"/>
        <item x="6"/>
        <item x="27"/>
        <item x="12"/>
        <item x="26"/>
        <item x="19"/>
        <item x="15"/>
        <item x="4"/>
        <item x="8"/>
        <item x="13"/>
        <item x="28"/>
        <item x="24"/>
        <item x="0"/>
        <item x="20"/>
        <item x="1"/>
        <item x="11"/>
        <item x="2"/>
        <item x="25"/>
        <item x="22"/>
        <item x="9"/>
        <item x="10"/>
        <item x="21"/>
        <item x="16"/>
        <item x="23"/>
        <item x="29"/>
        <item x="17"/>
        <item x="14"/>
        <item x="3"/>
        <item t="default"/>
      </items>
    </pivotField>
    <pivotField showAll="0"/>
    <pivotField axis="axisRow" showAll="0">
      <items count="15">
        <item x="8"/>
        <item x="4"/>
        <item x="12"/>
        <item x="3"/>
        <item x="13"/>
        <item x="10"/>
        <item x="2"/>
        <item x="7"/>
        <item x="0"/>
        <item x="11"/>
        <item x="9"/>
        <item x="1"/>
        <item x="5"/>
        <item x="6"/>
        <item t="default"/>
      </items>
    </pivotField>
    <pivotField axis="axisCol" showAll="0">
      <items count="6">
        <item x="4"/>
        <item x="3"/>
        <item x="2"/>
        <item x="1"/>
        <item x="0"/>
        <item t="default"/>
      </items>
    </pivotField>
    <pivotField axis="axisPage" showAll="0">
      <items count="6">
        <item x="2"/>
        <item x="4"/>
        <item x="0"/>
        <item x="3"/>
        <item x="1"/>
        <item t="default"/>
      </items>
    </pivotField>
    <pivotField showAll="0">
      <items count="30">
        <item x="24"/>
        <item x="20"/>
        <item x="13"/>
        <item x="19"/>
        <item x="2"/>
        <item x="4"/>
        <item x="27"/>
        <item x="5"/>
        <item x="11"/>
        <item x="16"/>
        <item x="6"/>
        <item x="3"/>
        <item x="21"/>
        <item x="25"/>
        <item x="14"/>
        <item x="7"/>
        <item x="18"/>
        <item x="9"/>
        <item x="1"/>
        <item x="26"/>
        <item x="8"/>
        <item x="23"/>
        <item x="12"/>
        <item x="28"/>
        <item x="10"/>
        <item x="0"/>
        <item x="17"/>
        <item x="22"/>
        <item x="15"/>
        <item t="default"/>
      </items>
    </pivotField>
    <pivotField dataField="1"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3"/>
  </rowFields>
  <rowItems count="7">
    <i>
      <x v="1"/>
    </i>
    <i>
      <x v="4"/>
    </i>
    <i>
      <x v="6"/>
    </i>
    <i>
      <x v="7"/>
    </i>
    <i>
      <x v="10"/>
    </i>
    <i>
      <x v="11"/>
    </i>
    <i t="grand">
      <x/>
    </i>
  </rowItems>
  <colFields count="1">
    <field x="4"/>
  </colFields>
  <colItems count="4">
    <i>
      <x/>
    </i>
    <i>
      <x v="2"/>
    </i>
    <i>
      <x v="3"/>
    </i>
    <i t="grand">
      <x/>
    </i>
  </colItems>
  <pageFields count="1">
    <pageField fld="5" item="4" hier="-1"/>
  </pageFields>
  <dataFields count="1">
    <dataField name="Sum of Quantity" fld="7" baseField="0" baseItem="0"/>
  </dataFields>
  <chartFormats count="3">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2"/>
          </reference>
        </references>
      </pivotArea>
    </chartFormat>
    <chartFormat chart="0" format="2"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9BFAD62-8842-470E-86D8-FC3BE0C190F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G19" firstHeaderRow="1" firstDataRow="2" firstDataCol="1" rowPageCount="1" colPageCount="1"/>
  <pivotFields count="12">
    <pivotField numFmtId="14" showAll="0">
      <items count="40">
        <item x="19"/>
        <item x="8"/>
        <item x="7"/>
        <item x="20"/>
        <item x="9"/>
        <item x="21"/>
        <item x="22"/>
        <item x="3"/>
        <item x="23"/>
        <item x="2"/>
        <item x="13"/>
        <item x="24"/>
        <item x="16"/>
        <item x="6"/>
        <item x="25"/>
        <item x="26"/>
        <item x="5"/>
        <item x="27"/>
        <item x="1"/>
        <item x="0"/>
        <item x="15"/>
        <item x="28"/>
        <item x="29"/>
        <item x="30"/>
        <item x="11"/>
        <item x="31"/>
        <item x="4"/>
        <item x="12"/>
        <item x="17"/>
        <item x="32"/>
        <item x="10"/>
        <item x="33"/>
        <item x="14"/>
        <item x="34"/>
        <item x="35"/>
        <item x="36"/>
        <item x="37"/>
        <item x="18"/>
        <item x="38"/>
        <item t="default"/>
      </items>
    </pivotField>
    <pivotField showAll="0">
      <items count="31">
        <item x="5"/>
        <item x="7"/>
        <item x="18"/>
        <item x="6"/>
        <item x="27"/>
        <item x="12"/>
        <item x="26"/>
        <item x="19"/>
        <item x="15"/>
        <item x="4"/>
        <item x="8"/>
        <item x="13"/>
        <item x="28"/>
        <item x="24"/>
        <item x="0"/>
        <item x="20"/>
        <item x="1"/>
        <item x="11"/>
        <item x="2"/>
        <item x="25"/>
        <item x="22"/>
        <item x="9"/>
        <item x="10"/>
        <item x="21"/>
        <item x="16"/>
        <item x="23"/>
        <item x="29"/>
        <item x="17"/>
        <item x="14"/>
        <item x="3"/>
        <item t="default"/>
      </items>
    </pivotField>
    <pivotField showAll="0"/>
    <pivotField axis="axisRow" showAll="0">
      <items count="15">
        <item x="8"/>
        <item x="4"/>
        <item x="12"/>
        <item x="3"/>
        <item x="13"/>
        <item x="10"/>
        <item x="2"/>
        <item x="7"/>
        <item x="0"/>
        <item x="11"/>
        <item x="9"/>
        <item x="1"/>
        <item x="5"/>
        <item x="6"/>
        <item t="default"/>
      </items>
    </pivotField>
    <pivotField axis="axisCol" showAll="0">
      <items count="6">
        <item x="4"/>
        <item x="3"/>
        <item x="2"/>
        <item x="1"/>
        <item x="0"/>
        <item t="default"/>
      </items>
    </pivotField>
    <pivotField axis="axisPage" showAll="0">
      <items count="6">
        <item x="2"/>
        <item x="4"/>
        <item x="0"/>
        <item x="3"/>
        <item x="1"/>
        <item t="default"/>
      </items>
    </pivotField>
    <pivotField showAll="0">
      <items count="30">
        <item x="24"/>
        <item x="20"/>
        <item x="13"/>
        <item x="19"/>
        <item x="2"/>
        <item x="4"/>
        <item x="27"/>
        <item x="5"/>
        <item x="11"/>
        <item x="16"/>
        <item x="6"/>
        <item x="3"/>
        <item x="21"/>
        <item x="25"/>
        <item x="14"/>
        <item x="7"/>
        <item x="18"/>
        <item x="9"/>
        <item x="1"/>
        <item x="26"/>
        <item x="8"/>
        <item x="23"/>
        <item x="12"/>
        <item x="28"/>
        <item x="10"/>
        <item x="0"/>
        <item x="17"/>
        <item x="22"/>
        <item x="15"/>
        <item t="default"/>
      </items>
    </pivotField>
    <pivotField dataField="1"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3"/>
  </rowFields>
  <rowItems count="15">
    <i>
      <x/>
    </i>
    <i>
      <x v="1"/>
    </i>
    <i>
      <x v="2"/>
    </i>
    <i>
      <x v="3"/>
    </i>
    <i>
      <x v="4"/>
    </i>
    <i>
      <x v="5"/>
    </i>
    <i>
      <x v="6"/>
    </i>
    <i>
      <x v="7"/>
    </i>
    <i>
      <x v="8"/>
    </i>
    <i>
      <x v="9"/>
    </i>
    <i>
      <x v="10"/>
    </i>
    <i>
      <x v="11"/>
    </i>
    <i>
      <x v="12"/>
    </i>
    <i>
      <x v="13"/>
    </i>
    <i t="grand">
      <x/>
    </i>
  </rowItems>
  <colFields count="1">
    <field x="4"/>
  </colFields>
  <colItems count="6">
    <i>
      <x/>
    </i>
    <i>
      <x v="1"/>
    </i>
    <i>
      <x v="2"/>
    </i>
    <i>
      <x v="3"/>
    </i>
    <i>
      <x v="4"/>
    </i>
    <i t="grand">
      <x/>
    </i>
  </colItems>
  <pageFields count="1">
    <pageField fld="5" hier="-1"/>
  </pageFields>
  <dataFields count="1">
    <dataField name="Sum of Quantity" fld="7" baseField="0" baseItem="0"/>
  </dataFields>
  <chartFormats count="5">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4996B1-5FCF-45A6-A811-02D34FAB4236}" name="PivotTable4"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cutive">
  <location ref="J3:K9" firstHeaderRow="1" firstDataRow="1" firstDataCol="1"/>
  <pivotFields count="12">
    <pivotField showAll="0"/>
    <pivotField axis="axisRow" showAll="0" measureFilter="1">
      <items count="42">
        <item x="29"/>
        <item x="31"/>
        <item x="37"/>
        <item x="4"/>
        <item x="2"/>
        <item x="23"/>
        <item x="27"/>
        <item x="35"/>
        <item x="21"/>
        <item x="38"/>
        <item x="24"/>
        <item x="40"/>
        <item x="28"/>
        <item x="32"/>
        <item x="0"/>
        <item x="33"/>
        <item x="26"/>
        <item x="22"/>
        <item x="34"/>
        <item x="39"/>
        <item x="18"/>
        <item x="20"/>
        <item x="19"/>
        <item x="17"/>
        <item x="16"/>
        <item x="15"/>
        <item x="13"/>
        <item x="14"/>
        <item x="12"/>
        <item x="11"/>
        <item x="10"/>
        <item x="9"/>
        <item x="8"/>
        <item x="7"/>
        <item x="6"/>
        <item x="5"/>
        <item x="3"/>
        <item x="1"/>
        <item x="30"/>
        <item x="36"/>
        <item x="25"/>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i>
    <i>
      <x v="8"/>
    </i>
    <i>
      <x v="23"/>
    </i>
    <i>
      <x v="31"/>
    </i>
    <i>
      <x v="37"/>
    </i>
    <i t="grand">
      <x/>
    </i>
  </rowItems>
  <colItems count="1">
    <i/>
  </colItems>
  <dataFields count="1">
    <dataField name=" Away From Target % Wise" fld="11" baseField="1" baseItem="13" numFmtId="10"/>
  </dataFields>
  <chartFormats count="2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0"/>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21"/>
          </reference>
        </references>
      </pivotArea>
    </chartFormat>
    <chartFormat chart="0" format="5">
      <pivotArea type="data" outline="0" fieldPosition="0">
        <references count="2">
          <reference field="4294967294" count="1" selected="0">
            <x v="0"/>
          </reference>
          <reference field="1" count="1" selected="0">
            <x v="28"/>
          </reference>
        </references>
      </pivotArea>
    </chartFormat>
    <chartFormat chart="0" format="6">
      <pivotArea type="data" outline="0" fieldPosition="0">
        <references count="2">
          <reference field="4294967294" count="1" selected="0">
            <x v="0"/>
          </reference>
          <reference field="1" count="1" selected="0">
            <x v="4"/>
          </reference>
        </references>
      </pivotArea>
    </chartFormat>
    <chartFormat chart="0" format="7">
      <pivotArea type="data" outline="0" fieldPosition="0">
        <references count="2">
          <reference field="4294967294" count="1" selected="0">
            <x v="0"/>
          </reference>
          <reference field="1" count="1" selected="0">
            <x v="9"/>
          </reference>
        </references>
      </pivotArea>
    </chartFormat>
    <chartFormat chart="0" format="8">
      <pivotArea type="data" outline="0" fieldPosition="0">
        <references count="2">
          <reference field="4294967294" count="1" selected="0">
            <x v="0"/>
          </reference>
          <reference field="1" count="1" selected="0">
            <x v="20"/>
          </reference>
        </references>
      </pivotArea>
    </chartFormat>
    <chartFormat chart="0" format="9">
      <pivotArea type="data" outline="0" fieldPosition="0">
        <references count="2">
          <reference field="4294967294" count="1" selected="0">
            <x v="0"/>
          </reference>
          <reference field="1" count="1" selected="0">
            <x v="30"/>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25"/>
          </reference>
        </references>
      </pivotArea>
    </chartFormat>
    <chartFormat chart="0" format="12">
      <pivotArea type="data" outline="0" fieldPosition="0">
        <references count="2">
          <reference field="4294967294" count="1" selected="0">
            <x v="0"/>
          </reference>
          <reference field="1" count="1" selected="0">
            <x v="31"/>
          </reference>
        </references>
      </pivotArea>
    </chartFormat>
    <chartFormat chart="0" format="13">
      <pivotArea type="data" outline="0" fieldPosition="0">
        <references count="2">
          <reference field="4294967294" count="1" selected="0">
            <x v="0"/>
          </reference>
          <reference field="1" count="1" selected="0">
            <x v="39"/>
          </reference>
        </references>
      </pivotArea>
    </chartFormat>
    <chartFormat chart="0" format="14">
      <pivotArea type="data" outline="0" fieldPosition="0">
        <references count="2">
          <reference field="4294967294" count="1" selected="0">
            <x v="0"/>
          </reference>
          <reference field="1" count="1" selected="0">
            <x v="1"/>
          </reference>
        </references>
      </pivotArea>
    </chartFormat>
    <chartFormat chart="0" format="15">
      <pivotArea type="data" outline="0" fieldPosition="0">
        <references count="2">
          <reference field="4294967294" count="1" selected="0">
            <x v="0"/>
          </reference>
          <reference field="1" count="1" selected="0">
            <x v="5"/>
          </reference>
        </references>
      </pivotArea>
    </chartFormat>
    <chartFormat chart="0" format="16">
      <pivotArea type="data" outline="0" fieldPosition="0">
        <references count="2">
          <reference field="4294967294" count="1" selected="0">
            <x v="0"/>
          </reference>
          <reference field="1" count="1" selected="0">
            <x v="19"/>
          </reference>
        </references>
      </pivotArea>
    </chartFormat>
    <chartFormat chart="0" format="17">
      <pivotArea type="data" outline="0" fieldPosition="0">
        <references count="2">
          <reference field="4294967294" count="1" selected="0">
            <x v="0"/>
          </reference>
          <reference field="1" count="1" selected="0">
            <x v="22"/>
          </reference>
        </references>
      </pivotArea>
    </chartFormat>
    <chartFormat chart="0" format="18">
      <pivotArea type="data" outline="0" fieldPosition="0">
        <references count="2">
          <reference field="4294967294" count="1" selected="0">
            <x v="0"/>
          </reference>
          <reference field="1" count="1" selected="0">
            <x v="36"/>
          </reference>
        </references>
      </pivotArea>
    </chartFormat>
    <chartFormat chart="0" format="19">
      <pivotArea type="data" outline="0" fieldPosition="0">
        <references count="2">
          <reference field="4294967294" count="1" selected="0">
            <x v="0"/>
          </reference>
          <reference field="1" count="1" selected="0">
            <x v="16"/>
          </reference>
        </references>
      </pivotArea>
    </chartFormat>
    <chartFormat chart="0" format="20">
      <pivotArea type="data" outline="0" fieldPosition="0">
        <references count="2">
          <reference field="4294967294" count="1" selected="0">
            <x v="0"/>
          </reference>
          <reference field="1" count="1" selected="0">
            <x v="18"/>
          </reference>
        </references>
      </pivotArea>
    </chartFormat>
    <chartFormat chart="0" format="21">
      <pivotArea type="data" outline="0" fieldPosition="0">
        <references count="2">
          <reference field="4294967294" count="1" selected="0">
            <x v="0"/>
          </reference>
          <reference field="1" count="1" selected="0">
            <x v="27"/>
          </reference>
        </references>
      </pivotArea>
    </chartFormat>
    <chartFormat chart="0" format="22">
      <pivotArea type="data" outline="0" fieldPosition="0">
        <references count="2">
          <reference field="4294967294" count="1" selected="0">
            <x v="0"/>
          </reference>
          <reference field="1" count="1" selected="0">
            <x v="34"/>
          </reference>
        </references>
      </pivotArea>
    </chartFormat>
    <chartFormat chart="0" format="23">
      <pivotArea type="data" outline="0" fieldPosition="0">
        <references count="2">
          <reference field="4294967294" count="1" selected="0">
            <x v="0"/>
          </reference>
          <reference field="1" count="1" selected="0">
            <x v="12"/>
          </reference>
        </references>
      </pivotArea>
    </chartFormat>
    <chartFormat chart="0" format="24">
      <pivotArea type="data" outline="0" fieldPosition="0">
        <references count="2">
          <reference field="4294967294" count="1" selected="0">
            <x v="0"/>
          </reference>
          <reference field="1" count="1" selected="0">
            <x v="14"/>
          </reference>
        </references>
      </pivotArea>
    </chartFormat>
    <chartFormat chart="0" format="25">
      <pivotArea type="data" outline="0" fieldPosition="0">
        <references count="2">
          <reference field="4294967294" count="1" selected="0">
            <x v="0"/>
          </reference>
          <reference field="1" count="1" selected="0">
            <x v="24"/>
          </reference>
        </references>
      </pivotArea>
    </chartFormat>
    <chartFormat chart="0" format="26">
      <pivotArea type="data" outline="0" fieldPosition="0">
        <references count="2">
          <reference field="4294967294" count="1" selected="0">
            <x v="0"/>
          </reference>
          <reference field="1" count="1" selected="0">
            <x v="32"/>
          </reference>
        </references>
      </pivotArea>
    </chartFormat>
  </chartFormats>
  <pivotTableStyleInfo name="PivotStyleLight15"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754EBEC-CBE1-4FE8-8B63-51D9A0149500}"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cutive">
  <location ref="G3:H9" firstHeaderRow="1" firstDataRow="1" firstDataCol="1"/>
  <pivotFields count="12">
    <pivotField showAll="0"/>
    <pivotField axis="axisRow" showAll="0" measureFilter="1" sortType="descending">
      <items count="42">
        <item x="29"/>
        <item x="31"/>
        <item x="37"/>
        <item x="4"/>
        <item x="2"/>
        <item x="23"/>
        <item x="27"/>
        <item x="35"/>
        <item x="21"/>
        <item x="38"/>
        <item x="24"/>
        <item x="40"/>
        <item x="28"/>
        <item x="32"/>
        <item x="0"/>
        <item x="33"/>
        <item x="26"/>
        <item x="22"/>
        <item x="34"/>
        <item x="39"/>
        <item x="18"/>
        <item x="20"/>
        <item x="19"/>
        <item x="17"/>
        <item x="16"/>
        <item x="15"/>
        <item x="13"/>
        <item x="14"/>
        <item x="12"/>
        <item x="11"/>
        <item x="10"/>
        <item x="9"/>
        <item x="8"/>
        <item x="7"/>
        <item x="6"/>
        <item x="5"/>
        <item x="3"/>
        <item x="1"/>
        <item x="30"/>
        <item x="36"/>
        <item x="25"/>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2"/>
    </i>
    <i>
      <x/>
    </i>
    <i>
      <x v="8"/>
    </i>
    <i>
      <x v="23"/>
    </i>
    <i>
      <x v="37"/>
    </i>
    <i t="grand">
      <x/>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BBE0F04-DE31-4679-A713-8BC252276E23}"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D3:E9" firstHeaderRow="1" firstDataRow="1" firstDataCol="1"/>
  <pivotFields count="12">
    <pivotField showAll="0"/>
    <pivotField axis="axisRow" showAll="0" measureFilter="1" sortType="descending">
      <items count="42">
        <item x="29"/>
        <item x="31"/>
        <item x="37"/>
        <item x="4"/>
        <item x="2"/>
        <item x="23"/>
        <item x="27"/>
        <item x="35"/>
        <item x="21"/>
        <item x="38"/>
        <item x="24"/>
        <item x="40"/>
        <item x="28"/>
        <item x="32"/>
        <item x="0"/>
        <item x="33"/>
        <item x="26"/>
        <item x="22"/>
        <item x="34"/>
        <item x="39"/>
        <item x="18"/>
        <item x="20"/>
        <item x="19"/>
        <item x="17"/>
        <item x="16"/>
        <item x="15"/>
        <item x="13"/>
        <item x="14"/>
        <item x="12"/>
        <item x="11"/>
        <item x="10"/>
        <item x="9"/>
        <item x="8"/>
        <item x="7"/>
        <item x="6"/>
        <item x="5"/>
        <item x="3"/>
        <item x="1"/>
        <item x="30"/>
        <item x="36"/>
        <item x="25"/>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i>
    <i>
      <x v="8"/>
    </i>
    <i>
      <x v="23"/>
    </i>
    <i>
      <x v="37"/>
    </i>
    <i>
      <x v="31"/>
    </i>
    <i t="grand">
      <x/>
    </i>
  </rowItems>
  <colItems count="1">
    <i/>
  </colItems>
  <dataFields count="1">
    <dataField name="Total Sales " fld="8" baseField="1" baseItem="1"/>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BEA3179-0031-4109-A5CD-09571B0784BC}"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sortType="descending">
      <items count="42">
        <item x="29"/>
        <item x="31"/>
        <item x="37"/>
        <item x="4"/>
        <item x="2"/>
        <item x="23"/>
        <item x="27"/>
        <item x="35"/>
        <item x="21"/>
        <item x="38"/>
        <item x="24"/>
        <item x="40"/>
        <item x="28"/>
        <item x="32"/>
        <item x="0"/>
        <item x="33"/>
        <item x="26"/>
        <item x="22"/>
        <item x="34"/>
        <item x="39"/>
        <item x="18"/>
        <item x="20"/>
        <item x="19"/>
        <item x="17"/>
        <item x="16"/>
        <item x="15"/>
        <item x="13"/>
        <item x="14"/>
        <item x="12"/>
        <item x="11"/>
        <item x="10"/>
        <item x="9"/>
        <item x="8"/>
        <item x="7"/>
        <item x="6"/>
        <item x="5"/>
        <item x="3"/>
        <item x="1"/>
        <item x="30"/>
        <item x="36"/>
        <item x="25"/>
        <item t="default"/>
      </items>
      <autoSortScope>
        <pivotArea dataOnly="0" outline="0" fieldPosition="0">
          <references count="1">
            <reference field="4294967294" count="1" selected="0">
              <x v="0"/>
            </reference>
          </references>
        </pivotArea>
      </autoSortScope>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
    </i>
    <i>
      <x/>
    </i>
    <i>
      <x v="8"/>
    </i>
    <i>
      <x v="23"/>
    </i>
    <i>
      <x v="37"/>
    </i>
    <i t="grand">
      <x/>
    </i>
  </rowItems>
  <colItems count="1">
    <i/>
  </colItems>
  <dataFields count="1">
    <dataField name="Total Sales " fld="8" baseField="1" baseItem="1"/>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0"/>
          </reference>
        </references>
      </pivotArea>
    </chartFormat>
  </chartFormats>
  <pivotTableStyleInfo name="PivotStyleLight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BC4D6D2-0484-434D-A5F6-DCDD377FD110}" sourceName="State">
  <pivotTables>
    <pivotTable tabId="35" name="PivotTable4"/>
  </pivotTables>
  <data>
    <tabular pivotCacheId="1346817808">
      <items count="14">
        <i x="8" s="1"/>
        <i x="4" s="1"/>
        <i x="12" s="1"/>
        <i x="3" s="1"/>
        <i x="13" s="1"/>
        <i x="10" s="1"/>
        <i x="2" s="1"/>
        <i x="7" s="1"/>
        <i x="0" s="1"/>
        <i x="11" s="1"/>
        <i x="9" s="1"/>
        <i x="1" s="1"/>
        <i x="5"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EF8FCC1-93A6-4CBD-B9EB-63A6A82F62D9}" sourceName="Region">
  <pivotTables>
    <pivotTable tabId="44" name="PivotTable1"/>
    <pivotTable tabId="44" name="PivotTable2"/>
    <pivotTable tabId="44" name="PivotTable3"/>
    <pivotTable tabId="44" name="PivotTable4"/>
  </pivotTables>
  <data>
    <tabular pivotCacheId="1327848746">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092C0A46-63CB-4A6E-AD4E-6ADF94495466}" cache="Slicer_State" caption="State"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DB8CE20-777D-4640-B0B6-8DB7E98D8453}" cache="Slicer_Region" caption="Region" columnCount="8" showCaption="0" style="Slicer Style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ale_Date" xr10:uid="{092571A5-4A74-4EB4-AE09-02A89FC10AAC}" sourceName="Sale Date">
  <pivotTables>
    <pivotTable tabId="41" name="PivotTable1"/>
  </pivotTables>
  <state minimalRefreshVersion="6" lastRefreshVersion="6" pivotCacheId="1346817808" filterType="unknown">
    <bounds startDate="202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 Date" xr10:uid="{4F26CD56-F042-48BE-BA2F-F9D223661F9C}" cache="NativeTimeline_Sale_Date" caption="Sale Date" level="2" selectionLevel="2" scrollPosition="2023-01-01T00:00:00"/>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6.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3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12.xml"/><Relationship Id="rId7" Type="http://schemas.openxmlformats.org/officeDocument/2006/relationships/ctrlProp" Target="../ctrlProps/ctrlProp1.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vmlDrawing" Target="../drawings/vmlDrawing1.vml"/><Relationship Id="rId11" Type="http://schemas.microsoft.com/office/2007/relationships/slicer" Target="../slicers/slicer2.xml"/><Relationship Id="rId5" Type="http://schemas.openxmlformats.org/officeDocument/2006/relationships/drawing" Target="../drawings/drawing9.xml"/><Relationship Id="rId10" Type="http://schemas.openxmlformats.org/officeDocument/2006/relationships/ctrlProp" Target="../ctrlProps/ctrlProp4.xml"/><Relationship Id="rId4" Type="http://schemas.openxmlformats.org/officeDocument/2006/relationships/pivotTable" Target="../pivotTables/pivotTable13.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A1372-13C8-488A-999A-ACB40A6C5A71}">
  <sheetPr codeName="Sheet1"/>
  <dimension ref="A1:N53"/>
  <sheetViews>
    <sheetView topLeftCell="A3" zoomScaleNormal="100" workbookViewId="0">
      <selection activeCell="E3" sqref="E3"/>
    </sheetView>
  </sheetViews>
  <sheetFormatPr defaultRowHeight="14.4"/>
  <cols>
    <col min="2" max="2" width="11.109375" customWidth="1"/>
    <col min="3" max="3" width="13.44140625" customWidth="1"/>
    <col min="4" max="4" width="10.77734375" customWidth="1"/>
    <col min="5" max="5" width="13.33203125" bestFit="1" customWidth="1"/>
    <col min="6" max="6" width="19.33203125" customWidth="1"/>
    <col min="7" max="7" width="9.6640625" customWidth="1"/>
    <col min="13" max="14" width="12.5546875" customWidth="1"/>
    <col min="15" max="15" width="10.109375" customWidth="1"/>
  </cols>
  <sheetData>
    <row r="1" spans="1:14">
      <c r="B1" s="73" t="s">
        <v>109</v>
      </c>
      <c r="C1" s="73"/>
      <c r="D1" s="73"/>
      <c r="E1" s="73"/>
      <c r="F1" s="73"/>
      <c r="G1" s="73"/>
    </row>
    <row r="2" spans="1:14" ht="34.200000000000003" customHeight="1">
      <c r="A2" s="4"/>
      <c r="B2" s="5" t="s">
        <v>0</v>
      </c>
      <c r="C2" s="5" t="s">
        <v>1</v>
      </c>
      <c r="D2" s="5" t="s">
        <v>2</v>
      </c>
      <c r="E2" s="8" t="s">
        <v>3</v>
      </c>
      <c r="F2" s="6" t="s">
        <v>4</v>
      </c>
    </row>
    <row r="3" spans="1:14">
      <c r="A3">
        <v>1</v>
      </c>
      <c r="B3" t="s">
        <v>5</v>
      </c>
      <c r="C3" t="s">
        <v>6</v>
      </c>
      <c r="D3" t="s">
        <v>7</v>
      </c>
      <c r="E3" s="9">
        <v>68952</v>
      </c>
      <c r="F3" s="7">
        <v>43831</v>
      </c>
      <c r="G3" s="1"/>
    </row>
    <row r="4" spans="1:14">
      <c r="A4">
        <v>2</v>
      </c>
      <c r="B4" t="s">
        <v>8</v>
      </c>
      <c r="C4" t="s">
        <v>9</v>
      </c>
      <c r="D4" t="s">
        <v>10</v>
      </c>
      <c r="E4" s="9">
        <v>57234</v>
      </c>
      <c r="F4" s="7">
        <v>43832</v>
      </c>
      <c r="G4" s="1"/>
    </row>
    <row r="5" spans="1:14">
      <c r="A5">
        <v>3</v>
      </c>
      <c r="B5" t="s">
        <v>11</v>
      </c>
      <c r="C5" t="s">
        <v>12</v>
      </c>
      <c r="D5" t="s">
        <v>13</v>
      </c>
      <c r="E5" s="9">
        <v>89621</v>
      </c>
      <c r="F5" s="7">
        <v>43833</v>
      </c>
      <c r="G5" s="1"/>
    </row>
    <row r="6" spans="1:14">
      <c r="A6">
        <v>4</v>
      </c>
      <c r="B6" t="s">
        <v>14</v>
      </c>
      <c r="C6" t="s">
        <v>15</v>
      </c>
      <c r="D6" t="s">
        <v>16</v>
      </c>
      <c r="E6" s="9">
        <v>48720</v>
      </c>
      <c r="F6" s="7">
        <v>43834</v>
      </c>
      <c r="G6" s="1"/>
    </row>
    <row r="7" spans="1:14">
      <c r="A7">
        <v>5</v>
      </c>
      <c r="B7" t="s">
        <v>17</v>
      </c>
      <c r="C7" t="s">
        <v>18</v>
      </c>
      <c r="D7" t="s">
        <v>19</v>
      </c>
      <c r="E7" s="9">
        <v>93308</v>
      </c>
      <c r="F7" s="7">
        <v>43835</v>
      </c>
      <c r="G7" s="1"/>
    </row>
    <row r="8" spans="1:14">
      <c r="A8">
        <v>6</v>
      </c>
      <c r="B8" t="s">
        <v>20</v>
      </c>
      <c r="C8" t="s">
        <v>21</v>
      </c>
      <c r="D8" t="s">
        <v>7</v>
      </c>
      <c r="E8" s="9">
        <v>60951</v>
      </c>
      <c r="F8" s="7">
        <v>43836</v>
      </c>
      <c r="G8" s="1"/>
    </row>
    <row r="9" spans="1:14">
      <c r="A9">
        <v>7</v>
      </c>
      <c r="B9" t="s">
        <v>22</v>
      </c>
      <c r="C9" t="s">
        <v>23</v>
      </c>
      <c r="D9" t="s">
        <v>13</v>
      </c>
      <c r="E9" s="9">
        <v>80146</v>
      </c>
      <c r="F9" s="7">
        <v>43837</v>
      </c>
      <c r="G9" s="1"/>
      <c r="K9" s="4"/>
    </row>
    <row r="10" spans="1:14">
      <c r="A10">
        <v>8</v>
      </c>
      <c r="B10" t="s">
        <v>24</v>
      </c>
      <c r="C10" t="s">
        <v>25</v>
      </c>
      <c r="D10" t="s">
        <v>16</v>
      </c>
      <c r="E10" s="9">
        <v>75493</v>
      </c>
      <c r="F10" s="7">
        <v>43838</v>
      </c>
      <c r="G10" s="1"/>
      <c r="L10" t="s">
        <v>120</v>
      </c>
    </row>
    <row r="11" spans="1:14">
      <c r="A11">
        <v>9</v>
      </c>
      <c r="B11" t="s">
        <v>26</v>
      </c>
      <c r="C11" t="s">
        <v>27</v>
      </c>
      <c r="D11" t="s">
        <v>10</v>
      </c>
      <c r="E11" s="9">
        <v>53478</v>
      </c>
      <c r="F11" s="7">
        <v>43839</v>
      </c>
      <c r="G11" s="1"/>
    </row>
    <row r="12" spans="1:14">
      <c r="A12">
        <v>10</v>
      </c>
      <c r="B12" t="s">
        <v>28</v>
      </c>
      <c r="C12" t="s">
        <v>18</v>
      </c>
      <c r="D12" t="s">
        <v>7</v>
      </c>
      <c r="E12" s="9">
        <v>42367</v>
      </c>
      <c r="F12" s="7">
        <v>43840</v>
      </c>
      <c r="G12" s="1"/>
      <c r="N12" t="s">
        <v>121</v>
      </c>
    </row>
    <row r="13" spans="1:14">
      <c r="A13">
        <v>11</v>
      </c>
      <c r="B13" t="s">
        <v>29</v>
      </c>
      <c r="C13" t="s">
        <v>30</v>
      </c>
      <c r="D13" t="s">
        <v>13</v>
      </c>
      <c r="E13" s="9">
        <v>90127</v>
      </c>
      <c r="F13" s="7">
        <v>43841</v>
      </c>
      <c r="G13" s="1"/>
      <c r="K13" s="3"/>
    </row>
    <row r="14" spans="1:14">
      <c r="A14">
        <v>12</v>
      </c>
      <c r="B14" t="s">
        <v>31</v>
      </c>
      <c r="C14" t="s">
        <v>32</v>
      </c>
      <c r="D14" t="s">
        <v>19</v>
      </c>
      <c r="E14" s="9">
        <v>68922</v>
      </c>
      <c r="F14" s="7">
        <v>43842</v>
      </c>
      <c r="G14" s="1"/>
    </row>
    <row r="15" spans="1:14">
      <c r="A15">
        <v>13</v>
      </c>
      <c r="B15" t="s">
        <v>33</v>
      </c>
      <c r="C15" t="s">
        <v>34</v>
      </c>
      <c r="D15" t="s">
        <v>7</v>
      </c>
      <c r="E15" s="9">
        <v>39284</v>
      </c>
      <c r="F15" s="7">
        <v>43843</v>
      </c>
      <c r="G15" s="1"/>
    </row>
    <row r="16" spans="1:14">
      <c r="A16">
        <v>14</v>
      </c>
      <c r="B16" t="s">
        <v>35</v>
      </c>
      <c r="C16" t="s">
        <v>36</v>
      </c>
      <c r="D16" t="s">
        <v>16</v>
      </c>
      <c r="E16" s="9">
        <v>97005</v>
      </c>
      <c r="F16" s="7">
        <v>43844</v>
      </c>
      <c r="G16" s="1"/>
    </row>
    <row r="17" spans="1:7">
      <c r="A17">
        <v>15</v>
      </c>
      <c r="B17" t="s">
        <v>37</v>
      </c>
      <c r="C17" t="s">
        <v>38</v>
      </c>
      <c r="D17" t="s">
        <v>13</v>
      </c>
      <c r="E17" s="9">
        <v>75813</v>
      </c>
      <c r="F17" s="7">
        <v>43845</v>
      </c>
      <c r="G17" s="1"/>
    </row>
    <row r="18" spans="1:7">
      <c r="A18">
        <v>16</v>
      </c>
      <c r="B18" t="s">
        <v>39</v>
      </c>
      <c r="C18" t="s">
        <v>40</v>
      </c>
      <c r="D18" t="s">
        <v>10</v>
      </c>
      <c r="E18" s="9">
        <v>61230</v>
      </c>
      <c r="F18" s="7">
        <v>43846</v>
      </c>
      <c r="G18" s="1"/>
    </row>
    <row r="19" spans="1:7">
      <c r="A19">
        <v>17</v>
      </c>
      <c r="B19" t="s">
        <v>41</v>
      </c>
      <c r="C19" t="s">
        <v>42</v>
      </c>
      <c r="D19" t="s">
        <v>7</v>
      </c>
      <c r="E19" s="9">
        <v>45671</v>
      </c>
      <c r="F19" s="7">
        <v>43847</v>
      </c>
      <c r="G19" s="1"/>
    </row>
    <row r="20" spans="1:7">
      <c r="A20">
        <v>18</v>
      </c>
      <c r="B20" t="s">
        <v>43</v>
      </c>
      <c r="C20" t="s">
        <v>44</v>
      </c>
      <c r="D20" t="s">
        <v>16</v>
      </c>
      <c r="E20" s="9">
        <v>78433</v>
      </c>
      <c r="F20" s="7">
        <v>43848</v>
      </c>
      <c r="G20" s="1"/>
    </row>
    <row r="21" spans="1:7">
      <c r="A21">
        <v>19</v>
      </c>
      <c r="B21" t="s">
        <v>45</v>
      </c>
      <c r="C21" t="s">
        <v>46</v>
      </c>
      <c r="D21" t="s">
        <v>13</v>
      </c>
      <c r="E21" s="9">
        <v>62894</v>
      </c>
      <c r="F21" s="7">
        <v>43849</v>
      </c>
      <c r="G21" s="1"/>
    </row>
    <row r="22" spans="1:7">
      <c r="A22">
        <v>20</v>
      </c>
      <c r="B22" t="s">
        <v>47</v>
      </c>
      <c r="C22" t="s">
        <v>48</v>
      </c>
      <c r="D22" t="s">
        <v>19</v>
      </c>
      <c r="E22" s="9">
        <v>39201</v>
      </c>
      <c r="F22" s="7">
        <v>43850</v>
      </c>
      <c r="G22" s="1"/>
    </row>
    <row r="23" spans="1:7">
      <c r="A23">
        <v>21</v>
      </c>
      <c r="B23" t="s">
        <v>49</v>
      </c>
      <c r="C23" t="s">
        <v>50</v>
      </c>
      <c r="D23" t="s">
        <v>7</v>
      </c>
      <c r="E23" s="9">
        <v>70845</v>
      </c>
      <c r="F23" s="7">
        <v>43851</v>
      </c>
      <c r="G23" s="1"/>
    </row>
    <row r="24" spans="1:7">
      <c r="A24">
        <v>22</v>
      </c>
      <c r="B24" t="s">
        <v>51</v>
      </c>
      <c r="C24" t="s">
        <v>52</v>
      </c>
      <c r="D24" t="s">
        <v>10</v>
      </c>
      <c r="E24" s="9">
        <v>82394</v>
      </c>
      <c r="F24" s="7">
        <v>43852</v>
      </c>
      <c r="G24" s="1"/>
    </row>
    <row r="25" spans="1:7">
      <c r="A25">
        <v>23</v>
      </c>
      <c r="B25" t="s">
        <v>53</v>
      </c>
      <c r="C25" t="s">
        <v>54</v>
      </c>
      <c r="D25" t="s">
        <v>16</v>
      </c>
      <c r="E25" s="9">
        <v>59382</v>
      </c>
      <c r="F25" s="7">
        <v>43853</v>
      </c>
      <c r="G25" s="1"/>
    </row>
    <row r="26" spans="1:7">
      <c r="A26">
        <v>24</v>
      </c>
      <c r="B26" t="s">
        <v>55</v>
      </c>
      <c r="C26" t="s">
        <v>56</v>
      </c>
      <c r="D26" t="s">
        <v>13</v>
      </c>
      <c r="E26" s="9">
        <v>91823</v>
      </c>
      <c r="F26" s="7">
        <v>43854</v>
      </c>
      <c r="G26" s="1"/>
    </row>
    <row r="27" spans="1:7">
      <c r="A27">
        <v>25</v>
      </c>
      <c r="B27" t="s">
        <v>57</v>
      </c>
      <c r="C27" t="s">
        <v>58</v>
      </c>
      <c r="D27" t="s">
        <v>7</v>
      </c>
      <c r="E27" s="9">
        <v>38457</v>
      </c>
      <c r="F27" s="7">
        <v>43855</v>
      </c>
      <c r="G27" s="1"/>
    </row>
    <row r="28" spans="1:7">
      <c r="A28">
        <v>26</v>
      </c>
      <c r="B28" t="s">
        <v>59</v>
      </c>
      <c r="C28" t="s">
        <v>60</v>
      </c>
      <c r="D28" t="s">
        <v>19</v>
      </c>
      <c r="E28" s="9">
        <v>68931</v>
      </c>
      <c r="F28" s="7">
        <v>43856</v>
      </c>
      <c r="G28" s="1"/>
    </row>
    <row r="29" spans="1:7">
      <c r="A29">
        <v>27</v>
      </c>
      <c r="B29" t="s">
        <v>61</v>
      </c>
      <c r="C29" t="s">
        <v>62</v>
      </c>
      <c r="D29" t="s">
        <v>10</v>
      </c>
      <c r="E29" s="9">
        <v>45679</v>
      </c>
      <c r="F29" s="7">
        <v>43857</v>
      </c>
      <c r="G29" s="1"/>
    </row>
    <row r="30" spans="1:7">
      <c r="A30">
        <v>28</v>
      </c>
      <c r="B30" t="s">
        <v>63</v>
      </c>
      <c r="C30" t="s">
        <v>64</v>
      </c>
      <c r="D30" t="s">
        <v>16</v>
      </c>
      <c r="E30" s="9">
        <v>81256</v>
      </c>
      <c r="F30" s="7">
        <v>43858</v>
      </c>
      <c r="G30" s="1"/>
    </row>
    <row r="31" spans="1:7">
      <c r="A31">
        <v>29</v>
      </c>
      <c r="B31" t="s">
        <v>65</v>
      </c>
      <c r="C31" t="s">
        <v>66</v>
      </c>
      <c r="D31" t="s">
        <v>13</v>
      </c>
      <c r="E31" s="9">
        <v>70832</v>
      </c>
      <c r="F31" s="7">
        <v>43859</v>
      </c>
      <c r="G31" s="1"/>
    </row>
    <row r="32" spans="1:7">
      <c r="A32">
        <v>30</v>
      </c>
      <c r="B32" t="s">
        <v>67</v>
      </c>
      <c r="C32" t="s">
        <v>68</v>
      </c>
      <c r="D32" t="s">
        <v>7</v>
      </c>
      <c r="E32" s="9">
        <v>62483</v>
      </c>
      <c r="F32" s="7">
        <v>43860</v>
      </c>
      <c r="G32" s="1"/>
    </row>
    <row r="33" spans="1:7">
      <c r="A33">
        <v>31</v>
      </c>
      <c r="B33" t="s">
        <v>69</v>
      </c>
      <c r="C33" t="s">
        <v>70</v>
      </c>
      <c r="D33" t="s">
        <v>19</v>
      </c>
      <c r="E33" s="9">
        <v>53812</v>
      </c>
      <c r="F33" s="7">
        <v>43861</v>
      </c>
      <c r="G33" s="1"/>
    </row>
    <row r="34" spans="1:7">
      <c r="A34">
        <v>32</v>
      </c>
      <c r="B34" t="s">
        <v>71</v>
      </c>
      <c r="C34" t="s">
        <v>72</v>
      </c>
      <c r="D34" t="s">
        <v>7</v>
      </c>
      <c r="E34" s="9">
        <v>79420</v>
      </c>
      <c r="F34" s="7">
        <v>43862</v>
      </c>
      <c r="G34" s="1"/>
    </row>
    <row r="35" spans="1:7">
      <c r="A35">
        <v>33</v>
      </c>
      <c r="B35" t="s">
        <v>73</v>
      </c>
      <c r="C35" t="s">
        <v>74</v>
      </c>
      <c r="D35" t="s">
        <v>10</v>
      </c>
      <c r="E35" s="9">
        <v>46930</v>
      </c>
      <c r="F35" s="7">
        <v>43863</v>
      </c>
      <c r="G35" s="1"/>
    </row>
    <row r="36" spans="1:7">
      <c r="A36">
        <v>34</v>
      </c>
      <c r="B36" t="s">
        <v>75</v>
      </c>
      <c r="C36" t="s">
        <v>76</v>
      </c>
      <c r="D36" t="s">
        <v>13</v>
      </c>
      <c r="E36" s="9">
        <v>90214</v>
      </c>
      <c r="F36" s="7">
        <v>43864</v>
      </c>
      <c r="G36" s="1"/>
    </row>
    <row r="37" spans="1:7">
      <c r="A37">
        <v>35</v>
      </c>
      <c r="B37" t="s">
        <v>77</v>
      </c>
      <c r="C37" t="s">
        <v>78</v>
      </c>
      <c r="D37" t="s">
        <v>16</v>
      </c>
      <c r="E37" s="9">
        <v>51829</v>
      </c>
      <c r="F37" s="7">
        <v>43865</v>
      </c>
      <c r="G37" s="1"/>
    </row>
    <row r="38" spans="1:7">
      <c r="A38">
        <v>36</v>
      </c>
      <c r="B38" t="s">
        <v>79</v>
      </c>
      <c r="C38" t="s">
        <v>80</v>
      </c>
      <c r="D38" t="s">
        <v>7</v>
      </c>
      <c r="E38" s="9">
        <v>68135</v>
      </c>
      <c r="F38" s="7">
        <v>43866</v>
      </c>
      <c r="G38" s="1"/>
    </row>
    <row r="39" spans="1:7">
      <c r="A39">
        <v>37</v>
      </c>
      <c r="B39" t="s">
        <v>81</v>
      </c>
      <c r="C39" t="s">
        <v>82</v>
      </c>
      <c r="D39" t="s">
        <v>19</v>
      </c>
      <c r="E39" s="9">
        <v>75902</v>
      </c>
      <c r="F39" s="7">
        <v>43867</v>
      </c>
      <c r="G39" s="1"/>
    </row>
    <row r="40" spans="1:7">
      <c r="A40">
        <v>38</v>
      </c>
      <c r="B40" t="s">
        <v>83</v>
      </c>
      <c r="C40" t="s">
        <v>84</v>
      </c>
      <c r="D40" t="s">
        <v>13</v>
      </c>
      <c r="E40" s="9">
        <v>49208</v>
      </c>
      <c r="F40" s="7">
        <v>43868</v>
      </c>
      <c r="G40" s="1"/>
    </row>
    <row r="41" spans="1:7">
      <c r="A41">
        <v>39</v>
      </c>
      <c r="B41" t="s">
        <v>85</v>
      </c>
      <c r="C41" t="s">
        <v>86</v>
      </c>
      <c r="D41" t="s">
        <v>10</v>
      </c>
      <c r="E41" s="9">
        <v>83841</v>
      </c>
      <c r="F41" s="7">
        <v>43869</v>
      </c>
      <c r="G41" s="1"/>
    </row>
    <row r="42" spans="1:7">
      <c r="A42">
        <v>40</v>
      </c>
      <c r="B42" t="s">
        <v>87</v>
      </c>
      <c r="C42" t="s">
        <v>88</v>
      </c>
      <c r="D42" t="s">
        <v>16</v>
      </c>
      <c r="E42" s="9">
        <v>69841</v>
      </c>
      <c r="F42" s="7">
        <v>43870</v>
      </c>
      <c r="G42" s="1"/>
    </row>
    <row r="43" spans="1:7">
      <c r="A43">
        <v>41</v>
      </c>
      <c r="B43" t="s">
        <v>89</v>
      </c>
      <c r="C43" t="s">
        <v>90</v>
      </c>
      <c r="D43" t="s">
        <v>7</v>
      </c>
      <c r="E43" s="9">
        <v>38245</v>
      </c>
      <c r="F43" s="7">
        <v>43871</v>
      </c>
      <c r="G43" s="1"/>
    </row>
    <row r="44" spans="1:7">
      <c r="A44">
        <v>42</v>
      </c>
      <c r="B44" t="s">
        <v>91</v>
      </c>
      <c r="C44" t="s">
        <v>92</v>
      </c>
      <c r="D44" t="s">
        <v>13</v>
      </c>
      <c r="E44" s="9">
        <v>96341</v>
      </c>
      <c r="F44" s="7">
        <v>43872</v>
      </c>
      <c r="G44" s="1"/>
    </row>
    <row r="45" spans="1:7">
      <c r="A45">
        <v>43</v>
      </c>
      <c r="B45" t="s">
        <v>93</v>
      </c>
      <c r="C45" t="s">
        <v>94</v>
      </c>
      <c r="D45" t="s">
        <v>10</v>
      </c>
      <c r="E45" s="9">
        <v>47689</v>
      </c>
      <c r="F45" s="7">
        <v>43873</v>
      </c>
      <c r="G45" s="1"/>
    </row>
    <row r="46" spans="1:7">
      <c r="A46">
        <v>44</v>
      </c>
      <c r="B46" t="s">
        <v>95</v>
      </c>
      <c r="C46" t="s">
        <v>96</v>
      </c>
      <c r="D46" t="s">
        <v>19</v>
      </c>
      <c r="E46" s="9">
        <v>72834</v>
      </c>
      <c r="F46" s="7">
        <v>43874</v>
      </c>
      <c r="G46" s="1"/>
    </row>
    <row r="47" spans="1:7">
      <c r="A47">
        <v>45</v>
      </c>
      <c r="B47" t="s">
        <v>97</v>
      </c>
      <c r="C47" t="s">
        <v>98</v>
      </c>
      <c r="D47" t="s">
        <v>16</v>
      </c>
      <c r="E47" s="9">
        <v>50493</v>
      </c>
      <c r="F47" s="7">
        <v>43875</v>
      </c>
      <c r="G47" s="1"/>
    </row>
    <row r="48" spans="1:7">
      <c r="A48">
        <v>46</v>
      </c>
      <c r="B48" t="s">
        <v>99</v>
      </c>
      <c r="C48" t="s">
        <v>100</v>
      </c>
      <c r="D48" t="s">
        <v>7</v>
      </c>
      <c r="E48" s="9">
        <v>65302</v>
      </c>
      <c r="F48" s="7">
        <v>43876</v>
      </c>
      <c r="G48" s="1"/>
    </row>
    <row r="49" spans="1:7">
      <c r="A49">
        <v>47</v>
      </c>
      <c r="B49" t="s">
        <v>101</v>
      </c>
      <c r="C49" t="s">
        <v>102</v>
      </c>
      <c r="D49" t="s">
        <v>13</v>
      </c>
      <c r="E49" s="9">
        <v>78910</v>
      </c>
      <c r="F49" s="7">
        <v>43877</v>
      </c>
      <c r="G49" s="1"/>
    </row>
    <row r="50" spans="1:7">
      <c r="A50">
        <v>48</v>
      </c>
      <c r="B50" t="s">
        <v>103</v>
      </c>
      <c r="C50" t="s">
        <v>104</v>
      </c>
      <c r="D50" t="s">
        <v>10</v>
      </c>
      <c r="E50" s="9">
        <v>59034</v>
      </c>
      <c r="F50" s="7">
        <v>43878</v>
      </c>
      <c r="G50" s="1"/>
    </row>
    <row r="51" spans="1:7">
      <c r="A51">
        <v>49</v>
      </c>
      <c r="B51" t="s">
        <v>105</v>
      </c>
      <c r="C51" t="s">
        <v>106</v>
      </c>
      <c r="D51" t="s">
        <v>7</v>
      </c>
      <c r="E51" s="9">
        <v>47382</v>
      </c>
      <c r="F51" s="7">
        <v>45868</v>
      </c>
      <c r="G51" s="1"/>
    </row>
    <row r="52" spans="1:7">
      <c r="A52">
        <v>50</v>
      </c>
      <c r="B52" t="s">
        <v>107</v>
      </c>
      <c r="C52" t="s">
        <v>108</v>
      </c>
      <c r="D52" t="s">
        <v>16</v>
      </c>
      <c r="E52" s="9">
        <v>81294</v>
      </c>
      <c r="F52" s="7">
        <v>43880</v>
      </c>
      <c r="G52" s="2"/>
    </row>
    <row r="53" spans="1:7">
      <c r="E53" s="9">
        <f>SUM(E3:E52)</f>
        <v>3307588</v>
      </c>
    </row>
  </sheetData>
  <mergeCells count="1">
    <mergeCell ref="B1:G1"/>
  </mergeCells>
  <phoneticPr fontId="2" type="noConversion"/>
  <conditionalFormatting sqref="B3:F52">
    <cfRule type="expression" dxfId="17" priority="3">
      <formula>$D3=$H$3</formula>
    </cfRule>
    <cfRule type="expression" dxfId="16" priority="4">
      <formula>$C3="HR"</formula>
    </cfRule>
  </conditionalFormatting>
  <conditionalFormatting sqref="C3:C52">
    <cfRule type="duplicateValues" dxfId="15" priority="13"/>
  </conditionalFormatting>
  <conditionalFormatting sqref="D13:D52">
    <cfRule type="containsText" dxfId="14" priority="15" operator="containsText" text="HR">
      <formula>NOT(ISERROR(SEARCH("HR",D13)))</formula>
    </cfRule>
  </conditionalFormatting>
  <conditionalFormatting sqref="D14">
    <cfRule type="containsText" dxfId="13" priority="2" operator="containsText" text="HR">
      <formula>NOT(ISERROR(SEARCH("HR",D14)))</formula>
    </cfRule>
  </conditionalFormatting>
  <conditionalFormatting sqref="E3:E52">
    <cfRule type="iconSet" priority="7">
      <iconSet iconSet="4Rating">
        <cfvo type="percent" val="0"/>
        <cfvo type="percent" val="25"/>
        <cfvo type="percent" val="50"/>
        <cfvo type="percent" val="75"/>
      </iconSet>
    </cfRule>
    <cfRule type="dataBar" priority="8">
      <dataBar>
        <cfvo type="min"/>
        <cfvo type="max"/>
        <color rgb="FFFFB628"/>
      </dataBar>
      <extLst>
        <ext xmlns:x14="http://schemas.microsoft.com/office/spreadsheetml/2009/9/main" uri="{B025F937-C7B1-47D3-B67F-A62EFF666E3E}">
          <x14:id>{85D00878-BEB8-48DC-B9F0-665FD11F464A}</x14:id>
        </ext>
      </extLst>
    </cfRule>
    <cfRule type="top10" dxfId="12" priority="9" percent="1" rank="20"/>
  </conditionalFormatting>
  <conditionalFormatting sqref="F3:F52">
    <cfRule type="timePeriod" dxfId="11" priority="11" timePeriod="today">
      <formula>FLOOR(F3,1)=TODAY()</formula>
    </cfRule>
    <cfRule type="timePeriod" dxfId="10" priority="12" timePeriod="last7Days">
      <formula>AND(TODAY()-FLOOR(F3,1)&lt;=6,FLOOR(F3,1)&lt;=TODAY())</formula>
    </cfRule>
  </conditionalFormatting>
  <conditionalFormatting sqref="P35">
    <cfRule type="cellIs" dxfId="9" priority="1" operator="greaterThan">
      <formula>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85D00878-BEB8-48DC-B9F0-665FD11F464A}">
            <x14:dataBar minLength="0" maxLength="100" gradient="0">
              <x14:cfvo type="autoMin"/>
              <x14:cfvo type="autoMax"/>
              <x14:negativeFillColor rgb="FFFF0000"/>
              <x14:axisColor rgb="FF000000"/>
            </x14:dataBar>
          </x14:cfRule>
          <xm:sqref>E3:E52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63E4C-20F9-4569-B7EC-E3C9A369EF24}">
  <sheetPr codeName="Sheet2"/>
  <dimension ref="A1:J10"/>
  <sheetViews>
    <sheetView workbookViewId="0">
      <selection activeCell="D2" sqref="D2"/>
    </sheetView>
  </sheetViews>
  <sheetFormatPr defaultRowHeight="14.4"/>
  <sheetData>
    <row r="1" spans="1:10">
      <c r="A1" t="s">
        <v>110</v>
      </c>
      <c r="B1" t="s">
        <v>111</v>
      </c>
      <c r="C1" t="s">
        <v>112</v>
      </c>
      <c r="D1" t="s">
        <v>113</v>
      </c>
      <c r="E1" t="s">
        <v>115</v>
      </c>
      <c r="F1" t="s">
        <v>114</v>
      </c>
      <c r="G1" t="s">
        <v>116</v>
      </c>
      <c r="H1" t="s">
        <v>117</v>
      </c>
      <c r="I1" t="s">
        <v>118</v>
      </c>
      <c r="J1" t="s">
        <v>119</v>
      </c>
    </row>
    <row r="2" spans="1:10">
      <c r="A2">
        <f t="shared" ref="A2:E10" ca="1" si="0">RANDBETWEEN(10,100)</f>
        <v>78</v>
      </c>
      <c r="B2">
        <f t="shared" ca="1" si="0"/>
        <v>93</v>
      </c>
      <c r="C2">
        <f t="shared" ca="1" si="0"/>
        <v>59</v>
      </c>
      <c r="D2">
        <f t="shared" ca="1" si="0"/>
        <v>82</v>
      </c>
      <c r="E2">
        <f t="shared" ca="1" si="0"/>
        <v>30</v>
      </c>
      <c r="F2">
        <v>305</v>
      </c>
      <c r="G2">
        <f t="shared" ref="G2:G10" ca="1" si="1">MAX(A2:E2)</f>
        <v>93</v>
      </c>
      <c r="H2">
        <f t="shared" ref="H2:H10" ca="1" si="2">MIN(A2:E2)</f>
        <v>30</v>
      </c>
      <c r="I2">
        <f t="shared" ref="I2:I10" ca="1" si="3">AVERAGE(A2:E2)</f>
        <v>68.400000000000006</v>
      </c>
      <c r="J2">
        <f t="shared" ref="J2:J10" ca="1" si="4">COUNT(A2:E2)</f>
        <v>5</v>
      </c>
    </row>
    <row r="3" spans="1:10">
      <c r="A3">
        <f t="shared" ca="1" si="0"/>
        <v>90</v>
      </c>
      <c r="B3">
        <f t="shared" ca="1" si="0"/>
        <v>61</v>
      </c>
      <c r="C3">
        <f t="shared" ca="1" si="0"/>
        <v>76</v>
      </c>
      <c r="D3">
        <f t="shared" ca="1" si="0"/>
        <v>41</v>
      </c>
      <c r="E3">
        <f t="shared" ca="1" si="0"/>
        <v>79</v>
      </c>
      <c r="F3">
        <f t="shared" ref="F3:F10" ca="1" si="5">SUM(A3:E3)+$A$13</f>
        <v>347</v>
      </c>
      <c r="G3">
        <f t="shared" ca="1" si="1"/>
        <v>90</v>
      </c>
      <c r="H3">
        <f t="shared" ca="1" si="2"/>
        <v>41</v>
      </c>
      <c r="I3">
        <f t="shared" ca="1" si="3"/>
        <v>69.400000000000006</v>
      </c>
      <c r="J3">
        <f t="shared" ca="1" si="4"/>
        <v>5</v>
      </c>
    </row>
    <row r="4" spans="1:10">
      <c r="A4">
        <f t="shared" ca="1" si="0"/>
        <v>18</v>
      </c>
      <c r="B4">
        <f t="shared" ca="1" si="0"/>
        <v>26</v>
      </c>
      <c r="C4">
        <f t="shared" ca="1" si="0"/>
        <v>67</v>
      </c>
      <c r="D4">
        <f t="shared" ca="1" si="0"/>
        <v>69</v>
      </c>
      <c r="E4">
        <f t="shared" ca="1" si="0"/>
        <v>85</v>
      </c>
      <c r="F4">
        <f t="shared" ca="1" si="5"/>
        <v>265</v>
      </c>
      <c r="G4">
        <f t="shared" ca="1" si="1"/>
        <v>85</v>
      </c>
      <c r="H4">
        <f t="shared" ca="1" si="2"/>
        <v>18</v>
      </c>
      <c r="I4">
        <f t="shared" ca="1" si="3"/>
        <v>53</v>
      </c>
      <c r="J4">
        <f t="shared" ca="1" si="4"/>
        <v>5</v>
      </c>
    </row>
    <row r="5" spans="1:10">
      <c r="A5">
        <f t="shared" ca="1" si="0"/>
        <v>26</v>
      </c>
      <c r="B5">
        <f t="shared" ca="1" si="0"/>
        <v>71</v>
      </c>
      <c r="C5">
        <f t="shared" ca="1" si="0"/>
        <v>83</v>
      </c>
      <c r="D5">
        <f t="shared" ca="1" si="0"/>
        <v>58</v>
      </c>
      <c r="E5">
        <f t="shared" ca="1" si="0"/>
        <v>29</v>
      </c>
      <c r="F5">
        <f t="shared" ca="1" si="5"/>
        <v>267</v>
      </c>
      <c r="G5">
        <f t="shared" ca="1" si="1"/>
        <v>83</v>
      </c>
      <c r="H5">
        <f t="shared" ca="1" si="2"/>
        <v>26</v>
      </c>
      <c r="I5">
        <f t="shared" ca="1" si="3"/>
        <v>53.4</v>
      </c>
      <c r="J5">
        <f t="shared" ca="1" si="4"/>
        <v>5</v>
      </c>
    </row>
    <row r="6" spans="1:10">
      <c r="A6">
        <f t="shared" ca="1" si="0"/>
        <v>85</v>
      </c>
      <c r="B6">
        <f t="shared" ca="1" si="0"/>
        <v>37</v>
      </c>
      <c r="C6">
        <f t="shared" ca="1" si="0"/>
        <v>60</v>
      </c>
      <c r="D6">
        <f t="shared" ca="1" si="0"/>
        <v>13</v>
      </c>
      <c r="E6">
        <f t="shared" ca="1" si="0"/>
        <v>49</v>
      </c>
      <c r="F6">
        <f t="shared" ca="1" si="5"/>
        <v>244</v>
      </c>
      <c r="G6">
        <f t="shared" ca="1" si="1"/>
        <v>85</v>
      </c>
      <c r="H6">
        <f t="shared" ca="1" si="2"/>
        <v>13</v>
      </c>
      <c r="I6">
        <f t="shared" ca="1" si="3"/>
        <v>48.8</v>
      </c>
      <c r="J6">
        <f t="shared" ca="1" si="4"/>
        <v>5</v>
      </c>
    </row>
    <row r="7" spans="1:10">
      <c r="A7">
        <f t="shared" ca="1" si="0"/>
        <v>69</v>
      </c>
      <c r="B7">
        <f t="shared" ca="1" si="0"/>
        <v>48</v>
      </c>
      <c r="C7">
        <f t="shared" ca="1" si="0"/>
        <v>41</v>
      </c>
      <c r="D7">
        <f t="shared" ca="1" si="0"/>
        <v>60</v>
      </c>
      <c r="E7">
        <f t="shared" ca="1" si="0"/>
        <v>53</v>
      </c>
      <c r="F7">
        <f t="shared" ca="1" si="5"/>
        <v>271</v>
      </c>
      <c r="G7">
        <f t="shared" ca="1" si="1"/>
        <v>69</v>
      </c>
      <c r="H7">
        <f t="shared" ca="1" si="2"/>
        <v>41</v>
      </c>
      <c r="I7">
        <f t="shared" ca="1" si="3"/>
        <v>54.2</v>
      </c>
      <c r="J7">
        <f t="shared" ca="1" si="4"/>
        <v>5</v>
      </c>
    </row>
    <row r="8" spans="1:10">
      <c r="A8">
        <f t="shared" ca="1" si="0"/>
        <v>38</v>
      </c>
      <c r="B8">
        <f t="shared" ca="1" si="0"/>
        <v>76</v>
      </c>
      <c r="C8">
        <f t="shared" ca="1" si="0"/>
        <v>63</v>
      </c>
      <c r="D8">
        <f t="shared" ca="1" si="0"/>
        <v>21</v>
      </c>
      <c r="E8">
        <f t="shared" ca="1" si="0"/>
        <v>16</v>
      </c>
      <c r="F8">
        <f t="shared" ca="1" si="5"/>
        <v>214</v>
      </c>
      <c r="G8">
        <f t="shared" ca="1" si="1"/>
        <v>76</v>
      </c>
      <c r="H8">
        <f t="shared" ca="1" si="2"/>
        <v>16</v>
      </c>
      <c r="I8">
        <f t="shared" ca="1" si="3"/>
        <v>42.8</v>
      </c>
      <c r="J8">
        <f t="shared" ca="1" si="4"/>
        <v>5</v>
      </c>
    </row>
    <row r="9" spans="1:10">
      <c r="A9">
        <f t="shared" ca="1" si="0"/>
        <v>71</v>
      </c>
      <c r="B9">
        <f t="shared" ca="1" si="0"/>
        <v>59</v>
      </c>
      <c r="C9">
        <f t="shared" ca="1" si="0"/>
        <v>83</v>
      </c>
      <c r="D9">
        <f t="shared" ca="1" si="0"/>
        <v>51</v>
      </c>
      <c r="E9">
        <f t="shared" ca="1" si="0"/>
        <v>27</v>
      </c>
      <c r="F9">
        <f t="shared" ca="1" si="5"/>
        <v>291</v>
      </c>
      <c r="G9">
        <f t="shared" ca="1" si="1"/>
        <v>83</v>
      </c>
      <c r="H9">
        <f t="shared" ca="1" si="2"/>
        <v>27</v>
      </c>
      <c r="I9">
        <f t="shared" ca="1" si="3"/>
        <v>58.2</v>
      </c>
      <c r="J9">
        <f t="shared" ca="1" si="4"/>
        <v>5</v>
      </c>
    </row>
    <row r="10" spans="1:10">
      <c r="A10">
        <f t="shared" ca="1" si="0"/>
        <v>55</v>
      </c>
      <c r="B10">
        <f t="shared" ca="1" si="0"/>
        <v>23</v>
      </c>
      <c r="C10">
        <f t="shared" ca="1" si="0"/>
        <v>22</v>
      </c>
      <c r="D10">
        <f t="shared" ca="1" si="0"/>
        <v>12</v>
      </c>
      <c r="E10">
        <f t="shared" ca="1" si="0"/>
        <v>53</v>
      </c>
      <c r="F10">
        <f t="shared" ca="1" si="5"/>
        <v>165</v>
      </c>
      <c r="G10">
        <f t="shared" ca="1" si="1"/>
        <v>55</v>
      </c>
      <c r="H10">
        <f t="shared" ca="1" si="2"/>
        <v>12</v>
      </c>
      <c r="I10">
        <f t="shared" ca="1" si="3"/>
        <v>33</v>
      </c>
      <c r="J10">
        <f t="shared" ca="1" si="4"/>
        <v>5</v>
      </c>
    </row>
  </sheetData>
  <conditionalFormatting sqref="A1:E10">
    <cfRule type="iconSet" priority="3">
      <iconSet>
        <cfvo type="percent" val="0"/>
        <cfvo type="percent" val="50"/>
        <cfvo type="percent" val="70"/>
      </iconSet>
    </cfRule>
  </conditionalFormatting>
  <conditionalFormatting sqref="A2:E10">
    <cfRule type="expression" priority="1">
      <formula>$B2=$N$3</formula>
    </cfRule>
    <cfRule type="expression" dxfId="8" priority="2">
      <formula>$A2=$A$13</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E6F8-7F78-4157-853F-755B888543D2}">
  <sheetPr codeName="Sheet3"/>
  <dimension ref="A1:V73"/>
  <sheetViews>
    <sheetView topLeftCell="A22" zoomScale="85" zoomScaleNormal="85" workbookViewId="0">
      <selection activeCell="J33" sqref="J33"/>
    </sheetView>
  </sheetViews>
  <sheetFormatPr defaultRowHeight="14.4"/>
  <cols>
    <col min="7" max="7" width="11.77734375" customWidth="1"/>
    <col min="11" max="11" width="9.44140625" customWidth="1"/>
    <col min="12" max="12" width="20.88671875" customWidth="1"/>
    <col min="13" max="13" width="12.44140625" customWidth="1"/>
    <col min="14" max="14" width="8.5546875" customWidth="1"/>
    <col min="15" max="15" width="10" customWidth="1"/>
    <col min="16" max="16" width="7" customWidth="1"/>
    <col min="17" max="17" width="11.88671875" customWidth="1"/>
    <col min="19" max="19" width="11.109375" customWidth="1"/>
    <col min="20" max="20" width="13.109375" customWidth="1"/>
    <col min="21" max="21" width="10.6640625" customWidth="1"/>
    <col min="22" max="22" width="14.88671875" customWidth="1"/>
  </cols>
  <sheetData>
    <row r="1" spans="1:22">
      <c r="A1" s="73" t="s">
        <v>213</v>
      </c>
      <c r="B1" s="74"/>
      <c r="C1" s="74"/>
      <c r="D1" s="74"/>
      <c r="E1" s="74"/>
      <c r="F1" s="74"/>
      <c r="G1" s="74"/>
      <c r="H1" s="75"/>
      <c r="M1" s="73" t="s">
        <v>214</v>
      </c>
      <c r="N1" s="74"/>
      <c r="O1" s="74"/>
      <c r="P1" s="74"/>
      <c r="Q1" s="74"/>
      <c r="S1" s="73" t="s">
        <v>215</v>
      </c>
      <c r="T1" s="73"/>
      <c r="U1" s="73"/>
    </row>
    <row r="2" spans="1:22">
      <c r="A2">
        <v>101</v>
      </c>
      <c r="B2" t="s">
        <v>129</v>
      </c>
      <c r="C2" t="s">
        <v>130</v>
      </c>
      <c r="D2">
        <v>799</v>
      </c>
      <c r="E2">
        <v>50</v>
      </c>
      <c r="F2">
        <v>4.5</v>
      </c>
      <c r="G2" t="s">
        <v>131</v>
      </c>
    </row>
    <row r="3" spans="1:22">
      <c r="A3">
        <v>102</v>
      </c>
      <c r="B3" t="s">
        <v>132</v>
      </c>
      <c r="C3" t="s">
        <v>130</v>
      </c>
      <c r="D3">
        <v>999</v>
      </c>
      <c r="E3">
        <v>30</v>
      </c>
      <c r="F3">
        <v>4.7</v>
      </c>
      <c r="G3" t="s">
        <v>133</v>
      </c>
      <c r="K3" s="10" t="s">
        <v>122</v>
      </c>
      <c r="L3" s="10" t="s">
        <v>123</v>
      </c>
      <c r="M3" s="10" t="s">
        <v>124</v>
      </c>
      <c r="N3" s="10" t="s">
        <v>125</v>
      </c>
      <c r="O3" s="10" t="s">
        <v>126</v>
      </c>
      <c r="P3" s="10" t="s">
        <v>127</v>
      </c>
      <c r="Q3" s="10" t="s">
        <v>128</v>
      </c>
      <c r="S3" s="10" t="s">
        <v>0</v>
      </c>
      <c r="T3" s="10" t="s">
        <v>1</v>
      </c>
      <c r="U3" s="10" t="s">
        <v>2</v>
      </c>
      <c r="V3" s="10" t="s">
        <v>155</v>
      </c>
    </row>
    <row r="4" spans="1:22">
      <c r="A4">
        <v>103</v>
      </c>
      <c r="B4" t="s">
        <v>134</v>
      </c>
      <c r="C4" t="s">
        <v>135</v>
      </c>
      <c r="D4">
        <v>399</v>
      </c>
      <c r="E4">
        <v>15</v>
      </c>
      <c r="F4">
        <v>4.5999999999999996</v>
      </c>
      <c r="G4" t="s">
        <v>136</v>
      </c>
      <c r="K4">
        <v>101</v>
      </c>
      <c r="L4" t="s">
        <v>129</v>
      </c>
      <c r="M4" t="s">
        <v>130</v>
      </c>
      <c r="N4">
        <v>799</v>
      </c>
      <c r="O4">
        <v>50</v>
      </c>
      <c r="P4">
        <v>4.5</v>
      </c>
      <c r="Q4" t="s">
        <v>131</v>
      </c>
      <c r="S4" t="s">
        <v>5</v>
      </c>
      <c r="T4" t="s">
        <v>6</v>
      </c>
      <c r="U4" t="s">
        <v>7</v>
      </c>
      <c r="V4">
        <v>9812345678</v>
      </c>
    </row>
    <row r="5" spans="1:22">
      <c r="A5">
        <v>104</v>
      </c>
      <c r="B5" t="s">
        <v>137</v>
      </c>
      <c r="C5" t="s">
        <v>138</v>
      </c>
      <c r="D5">
        <v>1249</v>
      </c>
      <c r="E5">
        <v>10</v>
      </c>
      <c r="F5">
        <v>4.8</v>
      </c>
      <c r="G5" t="s">
        <v>139</v>
      </c>
      <c r="K5">
        <v>102</v>
      </c>
      <c r="L5" t="s">
        <v>132</v>
      </c>
      <c r="M5" t="s">
        <v>130</v>
      </c>
      <c r="N5">
        <v>999</v>
      </c>
      <c r="O5">
        <v>30</v>
      </c>
      <c r="P5">
        <v>4.7</v>
      </c>
      <c r="Q5" t="s">
        <v>133</v>
      </c>
      <c r="S5" t="s">
        <v>8</v>
      </c>
      <c r="T5" t="s">
        <v>9</v>
      </c>
      <c r="U5" t="s">
        <v>13</v>
      </c>
      <c r="V5">
        <v>9812345679</v>
      </c>
    </row>
    <row r="6" spans="1:22">
      <c r="A6">
        <v>105</v>
      </c>
      <c r="B6" t="s">
        <v>140</v>
      </c>
      <c r="C6" t="s">
        <v>138</v>
      </c>
      <c r="D6">
        <v>1349</v>
      </c>
      <c r="E6">
        <v>8</v>
      </c>
      <c r="F6">
        <v>4.7</v>
      </c>
      <c r="G6" t="s">
        <v>141</v>
      </c>
      <c r="K6">
        <v>103</v>
      </c>
      <c r="L6" t="s">
        <v>134</v>
      </c>
      <c r="M6" t="s">
        <v>135</v>
      </c>
      <c r="N6">
        <v>399</v>
      </c>
      <c r="O6">
        <v>15</v>
      </c>
      <c r="P6">
        <v>4.5999999999999996</v>
      </c>
      <c r="Q6" t="s">
        <v>136</v>
      </c>
      <c r="S6" t="s">
        <v>11</v>
      </c>
      <c r="T6" t="s">
        <v>12</v>
      </c>
      <c r="U6" t="s">
        <v>10</v>
      </c>
      <c r="V6">
        <v>9812345680</v>
      </c>
    </row>
    <row r="7" spans="1:22">
      <c r="A7">
        <v>106</v>
      </c>
      <c r="B7" t="s">
        <v>142</v>
      </c>
      <c r="C7" t="s">
        <v>135</v>
      </c>
      <c r="D7">
        <v>329</v>
      </c>
      <c r="E7">
        <v>25</v>
      </c>
      <c r="F7">
        <v>4.4000000000000004</v>
      </c>
      <c r="G7" t="s">
        <v>136</v>
      </c>
      <c r="K7">
        <v>104</v>
      </c>
      <c r="L7" t="s">
        <v>137</v>
      </c>
      <c r="M7" t="s">
        <v>138</v>
      </c>
      <c r="N7">
        <v>1249</v>
      </c>
      <c r="O7">
        <v>10</v>
      </c>
      <c r="P7">
        <v>4.8</v>
      </c>
      <c r="Q7" t="s">
        <v>139</v>
      </c>
      <c r="S7" t="s">
        <v>14</v>
      </c>
      <c r="T7" t="s">
        <v>15</v>
      </c>
      <c r="U7" t="s">
        <v>7</v>
      </c>
      <c r="V7">
        <v>9812345681</v>
      </c>
    </row>
    <row r="8" spans="1:22">
      <c r="A8">
        <v>107</v>
      </c>
      <c r="B8" t="s">
        <v>134</v>
      </c>
      <c r="C8" t="s">
        <v>135</v>
      </c>
      <c r="D8">
        <v>399</v>
      </c>
      <c r="E8">
        <v>15</v>
      </c>
      <c r="F8">
        <v>4.5999999999999996</v>
      </c>
      <c r="G8" t="s">
        <v>136</v>
      </c>
      <c r="K8">
        <v>101</v>
      </c>
      <c r="L8" t="s">
        <v>129</v>
      </c>
      <c r="M8" t="s">
        <v>130</v>
      </c>
      <c r="N8">
        <v>799</v>
      </c>
      <c r="O8">
        <v>50</v>
      </c>
      <c r="P8">
        <v>4.5</v>
      </c>
      <c r="Q8" t="s">
        <v>131</v>
      </c>
      <c r="S8" t="s">
        <v>17</v>
      </c>
      <c r="T8" t="s">
        <v>18</v>
      </c>
      <c r="U8" t="s">
        <v>13</v>
      </c>
      <c r="V8">
        <v>9812345682</v>
      </c>
    </row>
    <row r="9" spans="1:22">
      <c r="A9">
        <v>108</v>
      </c>
      <c r="B9" t="s">
        <v>143</v>
      </c>
      <c r="C9" t="s">
        <v>138</v>
      </c>
      <c r="D9">
        <v>1299</v>
      </c>
      <c r="E9">
        <v>6</v>
      </c>
      <c r="F9">
        <v>4.8</v>
      </c>
      <c r="G9" t="s">
        <v>139</v>
      </c>
      <c r="K9">
        <v>105</v>
      </c>
      <c r="L9" t="s">
        <v>140</v>
      </c>
      <c r="M9" t="s">
        <v>138</v>
      </c>
      <c r="N9">
        <v>1349</v>
      </c>
      <c r="O9">
        <v>8</v>
      </c>
      <c r="P9">
        <v>4.7</v>
      </c>
      <c r="Q9" t="s">
        <v>141</v>
      </c>
      <c r="S9" t="s">
        <v>20</v>
      </c>
      <c r="T9" t="s">
        <v>12</v>
      </c>
      <c r="U9" t="s">
        <v>13</v>
      </c>
      <c r="V9">
        <v>9812345683</v>
      </c>
    </row>
    <row r="10" spans="1:22">
      <c r="A10">
        <v>981</v>
      </c>
      <c r="B10" t="s">
        <v>144</v>
      </c>
      <c r="C10" t="s">
        <v>130</v>
      </c>
      <c r="D10">
        <v>1349</v>
      </c>
      <c r="E10">
        <v>39</v>
      </c>
      <c r="F10">
        <v>4.5</v>
      </c>
      <c r="G10" t="s">
        <v>139</v>
      </c>
      <c r="K10">
        <v>106</v>
      </c>
      <c r="L10" t="s">
        <v>142</v>
      </c>
      <c r="M10" t="s">
        <v>135</v>
      </c>
      <c r="N10">
        <v>329</v>
      </c>
      <c r="O10">
        <v>25</v>
      </c>
      <c r="P10">
        <v>4.4000000000000004</v>
      </c>
      <c r="Q10" t="s">
        <v>136</v>
      </c>
      <c r="S10" t="s">
        <v>22</v>
      </c>
      <c r="T10" t="s">
        <v>23</v>
      </c>
      <c r="U10" t="s">
        <v>10</v>
      </c>
      <c r="V10">
        <v>9812345684</v>
      </c>
    </row>
    <row r="11" spans="1:22">
      <c r="A11">
        <v>454</v>
      </c>
      <c r="B11" t="s">
        <v>145</v>
      </c>
      <c r="C11" t="s">
        <v>138</v>
      </c>
      <c r="D11">
        <v>399</v>
      </c>
      <c r="E11">
        <v>26</v>
      </c>
      <c r="F11">
        <v>4.5</v>
      </c>
      <c r="G11" t="s">
        <v>133</v>
      </c>
      <c r="K11">
        <v>107</v>
      </c>
      <c r="L11" t="s">
        <v>134</v>
      </c>
      <c r="M11" t="s">
        <v>135</v>
      </c>
      <c r="N11">
        <v>399</v>
      </c>
      <c r="O11">
        <v>15</v>
      </c>
      <c r="P11">
        <v>4.5999999999999996</v>
      </c>
      <c r="Q11" t="s">
        <v>136</v>
      </c>
      <c r="S11" t="s">
        <v>26</v>
      </c>
      <c r="T11" t="s">
        <v>27</v>
      </c>
      <c r="U11" t="s">
        <v>13</v>
      </c>
      <c r="V11">
        <v>9812345686</v>
      </c>
    </row>
    <row r="12" spans="1:22">
      <c r="A12">
        <v>995</v>
      </c>
      <c r="B12" t="s">
        <v>146</v>
      </c>
      <c r="C12" t="s">
        <v>130</v>
      </c>
      <c r="D12">
        <v>399</v>
      </c>
      <c r="E12">
        <v>27</v>
      </c>
      <c r="F12">
        <v>4.8</v>
      </c>
      <c r="G12" t="s">
        <v>136</v>
      </c>
      <c r="K12">
        <v>108</v>
      </c>
      <c r="L12" t="s">
        <v>143</v>
      </c>
      <c r="M12" t="s">
        <v>138</v>
      </c>
      <c r="N12">
        <v>1299</v>
      </c>
      <c r="O12">
        <v>6</v>
      </c>
      <c r="P12">
        <v>4.8</v>
      </c>
      <c r="Q12" t="s">
        <v>139</v>
      </c>
      <c r="S12" t="s">
        <v>28</v>
      </c>
      <c r="T12" t="s">
        <v>156</v>
      </c>
      <c r="U12" t="s">
        <v>10</v>
      </c>
      <c r="V12">
        <v>9812345687</v>
      </c>
    </row>
    <row r="13" spans="1:22">
      <c r="A13">
        <v>477</v>
      </c>
      <c r="B13" t="s">
        <v>146</v>
      </c>
      <c r="C13" t="s">
        <v>135</v>
      </c>
      <c r="D13">
        <v>399</v>
      </c>
      <c r="E13">
        <v>5</v>
      </c>
      <c r="F13">
        <v>4.5</v>
      </c>
      <c r="G13" t="s">
        <v>131</v>
      </c>
      <c r="K13">
        <v>103</v>
      </c>
      <c r="L13" t="s">
        <v>134</v>
      </c>
      <c r="M13" t="s">
        <v>135</v>
      </c>
      <c r="N13">
        <v>399</v>
      </c>
      <c r="O13">
        <v>15</v>
      </c>
      <c r="P13">
        <v>4.5999999999999996</v>
      </c>
      <c r="Q13" t="s">
        <v>136</v>
      </c>
      <c r="S13" t="s">
        <v>28</v>
      </c>
      <c r="T13" t="s">
        <v>156</v>
      </c>
      <c r="U13" t="s">
        <v>10</v>
      </c>
      <c r="V13">
        <v>9812345687</v>
      </c>
    </row>
    <row r="14" spans="1:22">
      <c r="A14">
        <v>416</v>
      </c>
      <c r="B14" t="s">
        <v>147</v>
      </c>
      <c r="C14" t="s">
        <v>148</v>
      </c>
      <c r="D14">
        <v>1249</v>
      </c>
      <c r="E14">
        <v>5</v>
      </c>
      <c r="F14">
        <v>4.5</v>
      </c>
      <c r="G14" t="s">
        <v>131</v>
      </c>
      <c r="K14">
        <v>105</v>
      </c>
      <c r="L14" t="s">
        <v>140</v>
      </c>
      <c r="M14" t="s">
        <v>138</v>
      </c>
      <c r="N14">
        <v>1349</v>
      </c>
      <c r="O14">
        <v>8</v>
      </c>
      <c r="P14">
        <v>4.7</v>
      </c>
      <c r="Q14" t="s">
        <v>141</v>
      </c>
      <c r="S14" t="s">
        <v>157</v>
      </c>
      <c r="T14" t="s">
        <v>36</v>
      </c>
      <c r="U14" t="s">
        <v>7</v>
      </c>
      <c r="V14">
        <v>9812345503</v>
      </c>
    </row>
    <row r="15" spans="1:22">
      <c r="A15">
        <v>194</v>
      </c>
      <c r="B15" t="s">
        <v>149</v>
      </c>
      <c r="C15" t="s">
        <v>135</v>
      </c>
      <c r="D15">
        <v>799</v>
      </c>
      <c r="E15">
        <v>10</v>
      </c>
      <c r="F15">
        <v>4.7</v>
      </c>
      <c r="G15" t="s">
        <v>131</v>
      </c>
      <c r="K15">
        <v>981</v>
      </c>
      <c r="L15" t="s">
        <v>144</v>
      </c>
      <c r="M15" t="s">
        <v>130</v>
      </c>
      <c r="N15">
        <v>1349</v>
      </c>
      <c r="O15">
        <v>39</v>
      </c>
      <c r="P15">
        <v>4.5</v>
      </c>
      <c r="Q15" t="s">
        <v>139</v>
      </c>
      <c r="S15" t="s">
        <v>158</v>
      </c>
      <c r="T15" t="s">
        <v>30</v>
      </c>
      <c r="U15" t="s">
        <v>13</v>
      </c>
      <c r="V15">
        <v>9812345372</v>
      </c>
    </row>
    <row r="16" spans="1:22">
      <c r="A16">
        <v>562</v>
      </c>
      <c r="B16" t="s">
        <v>150</v>
      </c>
      <c r="C16" t="s">
        <v>135</v>
      </c>
      <c r="D16">
        <v>399</v>
      </c>
      <c r="E16">
        <v>36</v>
      </c>
      <c r="F16">
        <v>4.3</v>
      </c>
      <c r="G16" t="s">
        <v>139</v>
      </c>
      <c r="K16">
        <v>454</v>
      </c>
      <c r="L16" t="s">
        <v>145</v>
      </c>
      <c r="M16" t="s">
        <v>138</v>
      </c>
      <c r="N16">
        <v>399</v>
      </c>
      <c r="O16">
        <v>26</v>
      </c>
      <c r="P16">
        <v>4.5</v>
      </c>
      <c r="Q16" t="s">
        <v>133</v>
      </c>
      <c r="S16" t="s">
        <v>159</v>
      </c>
      <c r="T16" t="s">
        <v>38</v>
      </c>
      <c r="U16" t="s">
        <v>19</v>
      </c>
      <c r="V16">
        <v>9812345805</v>
      </c>
    </row>
    <row r="17" spans="1:22">
      <c r="A17">
        <v>168</v>
      </c>
      <c r="B17" t="s">
        <v>147</v>
      </c>
      <c r="C17" t="s">
        <v>138</v>
      </c>
      <c r="D17">
        <v>1349</v>
      </c>
      <c r="E17">
        <v>24</v>
      </c>
      <c r="F17">
        <v>4.5999999999999996</v>
      </c>
      <c r="G17" t="s">
        <v>131</v>
      </c>
      <c r="K17">
        <v>995</v>
      </c>
      <c r="L17" t="s">
        <v>146</v>
      </c>
      <c r="M17" t="s">
        <v>130</v>
      </c>
      <c r="N17">
        <v>399</v>
      </c>
      <c r="O17">
        <v>27</v>
      </c>
      <c r="P17">
        <v>4.8</v>
      </c>
      <c r="Q17" t="s">
        <v>136</v>
      </c>
      <c r="S17" t="s">
        <v>160</v>
      </c>
      <c r="T17" t="s">
        <v>32</v>
      </c>
      <c r="U17" t="s">
        <v>16</v>
      </c>
      <c r="V17">
        <v>9812345678</v>
      </c>
    </row>
    <row r="18" spans="1:22">
      <c r="A18">
        <v>477</v>
      </c>
      <c r="B18" t="s">
        <v>150</v>
      </c>
      <c r="C18" t="s">
        <v>138</v>
      </c>
      <c r="D18">
        <v>399</v>
      </c>
      <c r="E18">
        <v>28</v>
      </c>
      <c r="F18">
        <v>4.5999999999999996</v>
      </c>
      <c r="G18" t="s">
        <v>133</v>
      </c>
      <c r="K18">
        <v>477</v>
      </c>
      <c r="L18" t="s">
        <v>146</v>
      </c>
      <c r="M18" t="s">
        <v>135</v>
      </c>
      <c r="N18">
        <v>399</v>
      </c>
      <c r="O18">
        <v>5</v>
      </c>
      <c r="P18">
        <v>4.5</v>
      </c>
      <c r="Q18" t="s">
        <v>131</v>
      </c>
      <c r="S18" t="s">
        <v>11</v>
      </c>
      <c r="T18" t="s">
        <v>12</v>
      </c>
      <c r="U18" t="s">
        <v>10</v>
      </c>
      <c r="V18">
        <v>9812345680</v>
      </c>
    </row>
    <row r="19" spans="1:22">
      <c r="A19">
        <v>639</v>
      </c>
      <c r="B19" t="s">
        <v>145</v>
      </c>
      <c r="C19" t="s">
        <v>138</v>
      </c>
      <c r="D19">
        <v>799</v>
      </c>
      <c r="E19">
        <v>7</v>
      </c>
      <c r="F19">
        <v>4.8</v>
      </c>
      <c r="G19" t="s">
        <v>131</v>
      </c>
      <c r="K19">
        <v>416</v>
      </c>
      <c r="L19" t="s">
        <v>147</v>
      </c>
      <c r="M19" t="s">
        <v>148</v>
      </c>
      <c r="N19">
        <v>1249</v>
      </c>
      <c r="O19">
        <v>5</v>
      </c>
      <c r="P19">
        <v>4.5</v>
      </c>
      <c r="Q19" t="s">
        <v>131</v>
      </c>
      <c r="S19" t="s">
        <v>161</v>
      </c>
      <c r="T19" t="s">
        <v>34</v>
      </c>
      <c r="U19" t="s">
        <v>13</v>
      </c>
      <c r="V19">
        <v>9812345409</v>
      </c>
    </row>
    <row r="20" spans="1:22">
      <c r="A20">
        <v>632</v>
      </c>
      <c r="B20" t="s">
        <v>144</v>
      </c>
      <c r="C20" t="s">
        <v>135</v>
      </c>
      <c r="D20">
        <v>299</v>
      </c>
      <c r="E20">
        <v>16</v>
      </c>
      <c r="F20">
        <v>4.9000000000000004</v>
      </c>
      <c r="G20" t="s">
        <v>139</v>
      </c>
      <c r="K20">
        <v>454</v>
      </c>
      <c r="L20" t="s">
        <v>145</v>
      </c>
      <c r="M20" t="s">
        <v>138</v>
      </c>
      <c r="N20">
        <v>399</v>
      </c>
      <c r="O20">
        <v>26</v>
      </c>
      <c r="P20">
        <v>4.5</v>
      </c>
      <c r="Q20" t="s">
        <v>133</v>
      </c>
      <c r="S20" t="s">
        <v>162</v>
      </c>
      <c r="T20" t="s">
        <v>48</v>
      </c>
      <c r="U20" t="s">
        <v>16</v>
      </c>
      <c r="V20">
        <v>9812345541</v>
      </c>
    </row>
    <row r="21" spans="1:22">
      <c r="A21">
        <v>472</v>
      </c>
      <c r="B21" t="s">
        <v>151</v>
      </c>
      <c r="C21" t="s">
        <v>148</v>
      </c>
      <c r="D21">
        <v>799</v>
      </c>
      <c r="E21">
        <v>33</v>
      </c>
      <c r="F21">
        <v>4.4000000000000004</v>
      </c>
      <c r="G21" t="s">
        <v>136</v>
      </c>
      <c r="K21">
        <v>194</v>
      </c>
      <c r="L21" t="s">
        <v>149</v>
      </c>
      <c r="M21" t="s">
        <v>135</v>
      </c>
      <c r="N21">
        <v>799</v>
      </c>
      <c r="O21">
        <v>10</v>
      </c>
      <c r="P21">
        <v>4.7</v>
      </c>
      <c r="Q21" t="s">
        <v>131</v>
      </c>
      <c r="S21" t="s">
        <v>163</v>
      </c>
      <c r="T21" t="s">
        <v>30</v>
      </c>
      <c r="U21" t="s">
        <v>19</v>
      </c>
      <c r="V21">
        <v>9812345150</v>
      </c>
    </row>
    <row r="22" spans="1:22">
      <c r="A22">
        <v>643</v>
      </c>
      <c r="B22" t="s">
        <v>150</v>
      </c>
      <c r="C22" t="s">
        <v>138</v>
      </c>
      <c r="D22">
        <v>299</v>
      </c>
      <c r="E22">
        <v>37</v>
      </c>
      <c r="F22">
        <v>4.8</v>
      </c>
      <c r="G22" t="s">
        <v>141</v>
      </c>
      <c r="K22">
        <v>562</v>
      </c>
      <c r="L22" t="s">
        <v>150</v>
      </c>
      <c r="M22" t="s">
        <v>135</v>
      </c>
      <c r="N22">
        <v>399</v>
      </c>
      <c r="O22">
        <v>36</v>
      </c>
      <c r="P22">
        <v>4.3</v>
      </c>
      <c r="Q22" t="s">
        <v>139</v>
      </c>
      <c r="S22" t="s">
        <v>164</v>
      </c>
      <c r="T22" t="s">
        <v>32</v>
      </c>
      <c r="U22" t="s">
        <v>13</v>
      </c>
      <c r="V22">
        <v>9812345109</v>
      </c>
    </row>
    <row r="23" spans="1:22">
      <c r="A23">
        <v>223</v>
      </c>
      <c r="B23" t="s">
        <v>147</v>
      </c>
      <c r="C23" t="s">
        <v>130</v>
      </c>
      <c r="D23">
        <v>999</v>
      </c>
      <c r="E23">
        <v>29</v>
      </c>
      <c r="F23">
        <v>4.8</v>
      </c>
      <c r="G23" t="s">
        <v>131</v>
      </c>
      <c r="K23">
        <v>168</v>
      </c>
      <c r="L23" t="s">
        <v>147</v>
      </c>
      <c r="M23" t="s">
        <v>138</v>
      </c>
      <c r="N23">
        <v>1349</v>
      </c>
      <c r="O23">
        <v>24</v>
      </c>
      <c r="P23">
        <v>4.5999999999999996</v>
      </c>
      <c r="Q23" t="s">
        <v>131</v>
      </c>
      <c r="S23" t="s">
        <v>159</v>
      </c>
      <c r="T23" t="s">
        <v>38</v>
      </c>
      <c r="U23" t="s">
        <v>19</v>
      </c>
      <c r="V23">
        <v>9812345805</v>
      </c>
    </row>
    <row r="24" spans="1:22">
      <c r="A24">
        <v>947</v>
      </c>
      <c r="B24" t="s">
        <v>147</v>
      </c>
      <c r="C24" t="s">
        <v>135</v>
      </c>
      <c r="D24">
        <v>399</v>
      </c>
      <c r="E24">
        <v>24</v>
      </c>
      <c r="F24">
        <v>4.5</v>
      </c>
      <c r="G24" t="s">
        <v>136</v>
      </c>
      <c r="K24">
        <v>477</v>
      </c>
      <c r="L24" t="s">
        <v>150</v>
      </c>
      <c r="M24" t="s">
        <v>138</v>
      </c>
      <c r="N24">
        <v>399</v>
      </c>
      <c r="O24">
        <v>28</v>
      </c>
      <c r="P24">
        <v>4.5999999999999996</v>
      </c>
      <c r="Q24" t="s">
        <v>133</v>
      </c>
      <c r="S24" t="s">
        <v>165</v>
      </c>
      <c r="T24" t="s">
        <v>48</v>
      </c>
      <c r="U24" t="s">
        <v>7</v>
      </c>
      <c r="V24">
        <v>9812345203</v>
      </c>
    </row>
    <row r="25" spans="1:22">
      <c r="A25">
        <v>791</v>
      </c>
      <c r="B25" t="s">
        <v>152</v>
      </c>
      <c r="C25" t="s">
        <v>138</v>
      </c>
      <c r="D25">
        <v>399</v>
      </c>
      <c r="E25">
        <v>26</v>
      </c>
      <c r="F25">
        <v>4.8</v>
      </c>
      <c r="G25" t="s">
        <v>131</v>
      </c>
      <c r="K25">
        <v>639</v>
      </c>
      <c r="L25" t="s">
        <v>145</v>
      </c>
      <c r="M25" t="s">
        <v>138</v>
      </c>
      <c r="N25">
        <v>799</v>
      </c>
      <c r="O25">
        <v>7</v>
      </c>
      <c r="P25">
        <v>4.8</v>
      </c>
      <c r="Q25" t="s">
        <v>131</v>
      </c>
      <c r="S25" t="s">
        <v>166</v>
      </c>
      <c r="T25" t="s">
        <v>30</v>
      </c>
      <c r="U25" t="s">
        <v>16</v>
      </c>
      <c r="V25">
        <v>9812345343</v>
      </c>
    </row>
    <row r="26" spans="1:22">
      <c r="A26">
        <v>233</v>
      </c>
      <c r="B26" t="s">
        <v>149</v>
      </c>
      <c r="C26" t="s">
        <v>138</v>
      </c>
      <c r="D26">
        <v>399</v>
      </c>
      <c r="E26">
        <v>19</v>
      </c>
      <c r="F26">
        <v>4.9000000000000004</v>
      </c>
      <c r="G26" t="s">
        <v>139</v>
      </c>
      <c r="K26">
        <v>477</v>
      </c>
      <c r="L26" t="s">
        <v>146</v>
      </c>
      <c r="M26" t="s">
        <v>135</v>
      </c>
      <c r="N26">
        <v>399</v>
      </c>
      <c r="O26">
        <v>5</v>
      </c>
      <c r="P26">
        <v>4.5</v>
      </c>
      <c r="Q26" t="s">
        <v>131</v>
      </c>
      <c r="S26" t="s">
        <v>167</v>
      </c>
      <c r="T26" t="s">
        <v>48</v>
      </c>
      <c r="U26" t="s">
        <v>7</v>
      </c>
      <c r="V26">
        <v>9812345558</v>
      </c>
    </row>
    <row r="27" spans="1:22">
      <c r="A27">
        <v>969</v>
      </c>
      <c r="B27" t="s">
        <v>150</v>
      </c>
      <c r="C27" t="s">
        <v>148</v>
      </c>
      <c r="D27">
        <v>299</v>
      </c>
      <c r="E27">
        <v>18</v>
      </c>
      <c r="F27">
        <v>4.8</v>
      </c>
      <c r="G27" t="s">
        <v>139</v>
      </c>
      <c r="K27">
        <v>632</v>
      </c>
      <c r="L27" t="s">
        <v>144</v>
      </c>
      <c r="M27" t="s">
        <v>135</v>
      </c>
      <c r="N27">
        <v>299</v>
      </c>
      <c r="O27">
        <v>16</v>
      </c>
      <c r="P27">
        <v>4.9000000000000004</v>
      </c>
      <c r="Q27" t="s">
        <v>139</v>
      </c>
      <c r="S27" t="s">
        <v>168</v>
      </c>
      <c r="T27" t="s">
        <v>38</v>
      </c>
      <c r="U27" t="s">
        <v>10</v>
      </c>
      <c r="V27">
        <v>9812345032</v>
      </c>
    </row>
    <row r="28" spans="1:22">
      <c r="A28">
        <v>406</v>
      </c>
      <c r="B28" t="s">
        <v>153</v>
      </c>
      <c r="C28" t="s">
        <v>135</v>
      </c>
      <c r="D28">
        <v>299</v>
      </c>
      <c r="E28">
        <v>16</v>
      </c>
      <c r="F28">
        <v>4.8</v>
      </c>
      <c r="G28" t="s">
        <v>141</v>
      </c>
      <c r="K28">
        <v>472</v>
      </c>
      <c r="L28" t="s">
        <v>151</v>
      </c>
      <c r="M28" t="s">
        <v>148</v>
      </c>
      <c r="N28">
        <v>799</v>
      </c>
      <c r="O28">
        <v>33</v>
      </c>
      <c r="P28">
        <v>4.4000000000000004</v>
      </c>
      <c r="Q28" t="s">
        <v>136</v>
      </c>
      <c r="S28" t="s">
        <v>22</v>
      </c>
      <c r="T28" t="s">
        <v>23</v>
      </c>
      <c r="U28" t="s">
        <v>10</v>
      </c>
      <c r="V28">
        <v>9812345684</v>
      </c>
    </row>
    <row r="29" spans="1:22">
      <c r="A29">
        <v>380</v>
      </c>
      <c r="B29" t="s">
        <v>144</v>
      </c>
      <c r="C29" t="s">
        <v>130</v>
      </c>
      <c r="D29">
        <v>299</v>
      </c>
      <c r="E29">
        <v>44</v>
      </c>
      <c r="F29">
        <v>4.8</v>
      </c>
      <c r="G29" t="s">
        <v>131</v>
      </c>
      <c r="K29">
        <v>643</v>
      </c>
      <c r="L29" t="s">
        <v>150</v>
      </c>
      <c r="M29" t="s">
        <v>138</v>
      </c>
      <c r="N29">
        <v>299</v>
      </c>
      <c r="O29">
        <v>37</v>
      </c>
      <c r="P29">
        <v>4.8</v>
      </c>
      <c r="Q29" t="s">
        <v>141</v>
      </c>
      <c r="S29" t="s">
        <v>169</v>
      </c>
      <c r="T29" t="s">
        <v>30</v>
      </c>
      <c r="U29" t="s">
        <v>10</v>
      </c>
      <c r="V29">
        <v>9812345582</v>
      </c>
    </row>
    <row r="30" spans="1:22">
      <c r="A30">
        <v>639</v>
      </c>
      <c r="B30" t="s">
        <v>154</v>
      </c>
      <c r="C30" t="s">
        <v>148</v>
      </c>
      <c r="D30">
        <v>299</v>
      </c>
      <c r="E30">
        <v>30</v>
      </c>
      <c r="F30">
        <v>4.4000000000000004</v>
      </c>
      <c r="G30" t="s">
        <v>136</v>
      </c>
      <c r="K30">
        <v>223</v>
      </c>
      <c r="L30" t="s">
        <v>147</v>
      </c>
      <c r="M30" t="s">
        <v>130</v>
      </c>
      <c r="N30">
        <v>999</v>
      </c>
      <c r="O30">
        <v>29</v>
      </c>
      <c r="P30">
        <v>4.8</v>
      </c>
      <c r="Q30" t="s">
        <v>131</v>
      </c>
      <c r="S30" t="s">
        <v>170</v>
      </c>
      <c r="T30" t="s">
        <v>30</v>
      </c>
      <c r="U30" t="s">
        <v>7</v>
      </c>
      <c r="V30">
        <v>9812345318</v>
      </c>
    </row>
    <row r="31" spans="1:22">
      <c r="A31">
        <v>828</v>
      </c>
      <c r="B31" t="s">
        <v>146</v>
      </c>
      <c r="C31" t="s">
        <v>130</v>
      </c>
      <c r="D31">
        <v>1349</v>
      </c>
      <c r="E31">
        <v>33</v>
      </c>
      <c r="F31">
        <v>4.7</v>
      </c>
      <c r="G31" t="s">
        <v>133</v>
      </c>
      <c r="K31">
        <v>947</v>
      </c>
      <c r="L31" t="s">
        <v>147</v>
      </c>
      <c r="M31" t="s">
        <v>135</v>
      </c>
      <c r="N31">
        <v>399</v>
      </c>
      <c r="O31">
        <v>24</v>
      </c>
      <c r="P31">
        <v>4.5</v>
      </c>
      <c r="Q31" t="s">
        <v>136</v>
      </c>
      <c r="S31" t="s">
        <v>171</v>
      </c>
      <c r="T31" t="s">
        <v>46</v>
      </c>
      <c r="U31" t="s">
        <v>16</v>
      </c>
      <c r="V31">
        <v>9812345517</v>
      </c>
    </row>
    <row r="32" spans="1:22">
      <c r="A32">
        <v>333</v>
      </c>
      <c r="B32" t="s">
        <v>146</v>
      </c>
      <c r="C32" t="s">
        <v>130</v>
      </c>
      <c r="D32">
        <v>799</v>
      </c>
      <c r="E32">
        <v>15</v>
      </c>
      <c r="F32">
        <v>4.7</v>
      </c>
      <c r="G32" t="s">
        <v>136</v>
      </c>
      <c r="K32">
        <v>103</v>
      </c>
      <c r="L32" t="s">
        <v>134</v>
      </c>
      <c r="M32" t="s">
        <v>135</v>
      </c>
      <c r="N32">
        <v>399</v>
      </c>
      <c r="O32">
        <v>15</v>
      </c>
      <c r="P32">
        <v>4.5999999999999996</v>
      </c>
      <c r="Q32" t="s">
        <v>136</v>
      </c>
      <c r="S32" t="s">
        <v>172</v>
      </c>
      <c r="T32" t="s">
        <v>36</v>
      </c>
      <c r="U32" t="s">
        <v>7</v>
      </c>
      <c r="V32">
        <v>9812345010</v>
      </c>
    </row>
    <row r="33" spans="1:22">
      <c r="A33">
        <v>734</v>
      </c>
      <c r="B33" t="s">
        <v>149</v>
      </c>
      <c r="C33" t="s">
        <v>135</v>
      </c>
      <c r="D33">
        <v>799</v>
      </c>
      <c r="E33">
        <v>12</v>
      </c>
      <c r="F33">
        <v>4.5999999999999996</v>
      </c>
      <c r="G33" t="s">
        <v>136</v>
      </c>
      <c r="K33">
        <v>791</v>
      </c>
      <c r="L33" t="s">
        <v>152</v>
      </c>
      <c r="M33" t="s">
        <v>138</v>
      </c>
      <c r="N33">
        <v>399</v>
      </c>
      <c r="O33">
        <v>26</v>
      </c>
      <c r="P33">
        <v>4.8</v>
      </c>
      <c r="Q33" t="s">
        <v>131</v>
      </c>
    </row>
    <row r="34" spans="1:22">
      <c r="A34">
        <v>133</v>
      </c>
      <c r="B34" t="s">
        <v>146</v>
      </c>
      <c r="C34" t="s">
        <v>135</v>
      </c>
      <c r="D34">
        <v>999</v>
      </c>
      <c r="E34">
        <v>38</v>
      </c>
      <c r="F34">
        <v>4.7</v>
      </c>
      <c r="G34" t="s">
        <v>133</v>
      </c>
      <c r="K34">
        <v>233</v>
      </c>
      <c r="L34" t="s">
        <v>149</v>
      </c>
      <c r="M34" t="s">
        <v>138</v>
      </c>
      <c r="N34">
        <v>399</v>
      </c>
      <c r="O34">
        <v>19</v>
      </c>
      <c r="P34">
        <v>4.9000000000000004</v>
      </c>
      <c r="Q34" t="s">
        <v>139</v>
      </c>
      <c r="S34" s="73" t="s">
        <v>216</v>
      </c>
      <c r="T34" s="74"/>
      <c r="U34" s="74"/>
    </row>
    <row r="35" spans="1:22">
      <c r="A35">
        <v>205</v>
      </c>
      <c r="B35" t="s">
        <v>150</v>
      </c>
      <c r="C35" t="s">
        <v>148</v>
      </c>
      <c r="D35">
        <v>799</v>
      </c>
      <c r="E35">
        <v>34</v>
      </c>
      <c r="F35">
        <v>4.4000000000000004</v>
      </c>
      <c r="G35" t="s">
        <v>136</v>
      </c>
      <c r="K35">
        <v>969</v>
      </c>
      <c r="L35" t="s">
        <v>150</v>
      </c>
      <c r="M35" t="s">
        <v>148</v>
      </c>
      <c r="N35">
        <v>299</v>
      </c>
      <c r="O35">
        <v>18</v>
      </c>
      <c r="P35">
        <v>4.8</v>
      </c>
      <c r="Q35" t="s">
        <v>139</v>
      </c>
    </row>
    <row r="36" spans="1:22">
      <c r="A36">
        <v>654</v>
      </c>
      <c r="B36" t="s">
        <v>152</v>
      </c>
      <c r="C36" t="s">
        <v>135</v>
      </c>
      <c r="D36">
        <v>999</v>
      </c>
      <c r="E36">
        <v>28</v>
      </c>
      <c r="F36">
        <v>4.5999999999999996</v>
      </c>
      <c r="G36" t="s">
        <v>131</v>
      </c>
      <c r="K36">
        <v>406</v>
      </c>
      <c r="L36" t="s">
        <v>153</v>
      </c>
      <c r="M36" t="s">
        <v>135</v>
      </c>
      <c r="N36">
        <v>299</v>
      </c>
      <c r="O36">
        <v>16</v>
      </c>
      <c r="P36">
        <v>4.8</v>
      </c>
      <c r="Q36" t="s">
        <v>141</v>
      </c>
      <c r="S36" s="10" t="s">
        <v>0</v>
      </c>
      <c r="T36" s="10" t="s">
        <v>1</v>
      </c>
      <c r="U36" s="10" t="s">
        <v>2</v>
      </c>
      <c r="V36" s="10" t="s">
        <v>155</v>
      </c>
    </row>
    <row r="37" spans="1:22">
      <c r="A37">
        <v>310</v>
      </c>
      <c r="B37" t="s">
        <v>153</v>
      </c>
      <c r="C37" t="s">
        <v>148</v>
      </c>
      <c r="D37">
        <v>999</v>
      </c>
      <c r="E37">
        <v>32</v>
      </c>
      <c r="F37">
        <v>4.7</v>
      </c>
      <c r="G37" t="s">
        <v>133</v>
      </c>
      <c r="K37">
        <v>380</v>
      </c>
      <c r="L37" t="s">
        <v>144</v>
      </c>
      <c r="M37" t="s">
        <v>130</v>
      </c>
      <c r="N37">
        <v>299</v>
      </c>
      <c r="O37">
        <v>44</v>
      </c>
      <c r="P37">
        <v>4.8</v>
      </c>
      <c r="Q37" t="s">
        <v>131</v>
      </c>
      <c r="S37" t="s">
        <v>5</v>
      </c>
      <c r="T37" t="s">
        <v>6</v>
      </c>
      <c r="U37" t="s">
        <v>7</v>
      </c>
      <c r="V37">
        <v>9812345678</v>
      </c>
    </row>
    <row r="38" spans="1:22">
      <c r="A38">
        <v>373</v>
      </c>
      <c r="B38" t="s">
        <v>147</v>
      </c>
      <c r="C38" t="s">
        <v>138</v>
      </c>
      <c r="D38">
        <v>799</v>
      </c>
      <c r="E38">
        <v>11</v>
      </c>
      <c r="F38">
        <v>4.5</v>
      </c>
      <c r="G38" t="s">
        <v>133</v>
      </c>
      <c r="K38">
        <v>791</v>
      </c>
      <c r="L38" t="s">
        <v>152</v>
      </c>
      <c r="M38" t="s">
        <v>138</v>
      </c>
      <c r="N38">
        <v>399</v>
      </c>
      <c r="O38">
        <v>26</v>
      </c>
      <c r="P38">
        <v>4.8</v>
      </c>
      <c r="Q38" t="s">
        <v>131</v>
      </c>
      <c r="S38" t="s">
        <v>8</v>
      </c>
      <c r="T38" t="s">
        <v>9</v>
      </c>
      <c r="U38" t="s">
        <v>13</v>
      </c>
      <c r="V38">
        <v>9812345679</v>
      </c>
    </row>
    <row r="39" spans="1:22">
      <c r="A39">
        <v>616</v>
      </c>
      <c r="B39" t="s">
        <v>145</v>
      </c>
      <c r="C39" t="s">
        <v>135</v>
      </c>
      <c r="D39">
        <v>299</v>
      </c>
      <c r="E39">
        <v>10</v>
      </c>
      <c r="F39">
        <v>4.5</v>
      </c>
      <c r="G39" t="s">
        <v>133</v>
      </c>
      <c r="K39">
        <v>639</v>
      </c>
      <c r="L39" t="s">
        <v>154</v>
      </c>
      <c r="M39" t="s">
        <v>148</v>
      </c>
      <c r="N39">
        <v>299</v>
      </c>
      <c r="O39">
        <v>30</v>
      </c>
      <c r="P39">
        <v>4.4000000000000004</v>
      </c>
      <c r="Q39" t="s">
        <v>136</v>
      </c>
      <c r="S39" t="s">
        <v>11</v>
      </c>
      <c r="T39" t="s">
        <v>12</v>
      </c>
      <c r="U39" t="s">
        <v>10</v>
      </c>
      <c r="V39">
        <v>9812345680</v>
      </c>
    </row>
    <row r="40" spans="1:22">
      <c r="A40">
        <v>951</v>
      </c>
      <c r="B40" t="s">
        <v>154</v>
      </c>
      <c r="C40" t="s">
        <v>135</v>
      </c>
      <c r="D40">
        <v>1249</v>
      </c>
      <c r="E40">
        <v>26</v>
      </c>
      <c r="F40">
        <v>4.5</v>
      </c>
      <c r="G40" t="s">
        <v>136</v>
      </c>
      <c r="K40">
        <v>828</v>
      </c>
      <c r="L40" t="s">
        <v>146</v>
      </c>
      <c r="M40" t="s">
        <v>130</v>
      </c>
      <c r="N40">
        <v>1349</v>
      </c>
      <c r="O40">
        <v>33</v>
      </c>
      <c r="P40">
        <v>4.7</v>
      </c>
      <c r="Q40" t="s">
        <v>133</v>
      </c>
      <c r="S40" t="s">
        <v>14</v>
      </c>
      <c r="T40" t="s">
        <v>15</v>
      </c>
      <c r="U40" t="s">
        <v>7</v>
      </c>
      <c r="V40">
        <v>9812345681</v>
      </c>
    </row>
    <row r="41" spans="1:22">
      <c r="A41">
        <v>856</v>
      </c>
      <c r="B41" t="s">
        <v>144</v>
      </c>
      <c r="C41" t="s">
        <v>148</v>
      </c>
      <c r="D41">
        <v>999</v>
      </c>
      <c r="E41">
        <v>8</v>
      </c>
      <c r="F41">
        <v>4.7</v>
      </c>
      <c r="G41" t="s">
        <v>139</v>
      </c>
      <c r="K41">
        <v>333</v>
      </c>
      <c r="L41" t="s">
        <v>146</v>
      </c>
      <c r="M41" t="s">
        <v>130</v>
      </c>
      <c r="N41">
        <v>799</v>
      </c>
      <c r="O41">
        <v>15</v>
      </c>
      <c r="P41">
        <v>4.7</v>
      </c>
      <c r="Q41" t="s">
        <v>136</v>
      </c>
      <c r="S41" t="s">
        <v>17</v>
      </c>
      <c r="T41" t="s">
        <v>18</v>
      </c>
      <c r="U41" t="s">
        <v>13</v>
      </c>
      <c r="V41">
        <v>9812345682</v>
      </c>
    </row>
    <row r="42" spans="1:22">
      <c r="A42">
        <v>358</v>
      </c>
      <c r="B42" t="s">
        <v>147</v>
      </c>
      <c r="C42" t="s">
        <v>135</v>
      </c>
      <c r="D42">
        <v>799</v>
      </c>
      <c r="E42">
        <v>29</v>
      </c>
      <c r="F42">
        <v>4.8</v>
      </c>
      <c r="G42" t="s">
        <v>136</v>
      </c>
      <c r="K42">
        <v>734</v>
      </c>
      <c r="L42" t="s">
        <v>149</v>
      </c>
      <c r="M42" t="s">
        <v>135</v>
      </c>
      <c r="N42">
        <v>799</v>
      </c>
      <c r="O42">
        <v>12</v>
      </c>
      <c r="P42">
        <v>4.5999999999999996</v>
      </c>
      <c r="Q42" t="s">
        <v>136</v>
      </c>
      <c r="S42" t="s">
        <v>20</v>
      </c>
      <c r="T42" t="s">
        <v>12</v>
      </c>
      <c r="U42" t="s">
        <v>13</v>
      </c>
      <c r="V42">
        <v>9812345683</v>
      </c>
    </row>
    <row r="43" spans="1:22">
      <c r="A43">
        <v>175</v>
      </c>
      <c r="B43" t="s">
        <v>153</v>
      </c>
      <c r="C43" t="s">
        <v>138</v>
      </c>
      <c r="D43">
        <v>299</v>
      </c>
      <c r="E43">
        <v>34</v>
      </c>
      <c r="F43">
        <v>4.5999999999999996</v>
      </c>
      <c r="G43" t="s">
        <v>133</v>
      </c>
      <c r="K43">
        <v>133</v>
      </c>
      <c r="L43" t="s">
        <v>146</v>
      </c>
      <c r="M43" t="s">
        <v>135</v>
      </c>
      <c r="N43">
        <v>999</v>
      </c>
      <c r="O43">
        <v>38</v>
      </c>
      <c r="P43">
        <v>4.7</v>
      </c>
      <c r="Q43" t="s">
        <v>133</v>
      </c>
      <c r="S43" t="s">
        <v>22</v>
      </c>
      <c r="T43" t="s">
        <v>23</v>
      </c>
      <c r="U43" t="s">
        <v>10</v>
      </c>
      <c r="V43">
        <v>9812345684</v>
      </c>
    </row>
    <row r="44" spans="1:22">
      <c r="A44">
        <v>690</v>
      </c>
      <c r="B44" t="s">
        <v>154</v>
      </c>
      <c r="C44" t="s">
        <v>130</v>
      </c>
      <c r="D44">
        <v>299</v>
      </c>
      <c r="E44">
        <v>28</v>
      </c>
      <c r="F44">
        <v>4.7</v>
      </c>
      <c r="G44" t="s">
        <v>139</v>
      </c>
      <c r="K44">
        <v>416</v>
      </c>
      <c r="L44" t="s">
        <v>147</v>
      </c>
      <c r="M44" t="s">
        <v>148</v>
      </c>
      <c r="N44">
        <v>1249</v>
      </c>
      <c r="O44">
        <v>5</v>
      </c>
      <c r="P44">
        <v>4.5</v>
      </c>
      <c r="Q44" t="s">
        <v>131</v>
      </c>
      <c r="S44" t="s">
        <v>26</v>
      </c>
      <c r="T44" t="s">
        <v>27</v>
      </c>
      <c r="U44" t="s">
        <v>13</v>
      </c>
      <c r="V44">
        <v>9812345686</v>
      </c>
    </row>
    <row r="45" spans="1:22">
      <c r="A45">
        <v>355</v>
      </c>
      <c r="B45" t="s">
        <v>145</v>
      </c>
      <c r="C45" t="s">
        <v>138</v>
      </c>
      <c r="D45">
        <v>799</v>
      </c>
      <c r="E45">
        <v>5</v>
      </c>
      <c r="F45">
        <v>4.5999999999999996</v>
      </c>
      <c r="G45" t="s">
        <v>131</v>
      </c>
      <c r="K45">
        <v>205</v>
      </c>
      <c r="L45" t="s">
        <v>150</v>
      </c>
      <c r="M45" t="s">
        <v>148</v>
      </c>
      <c r="N45">
        <v>799</v>
      </c>
      <c r="O45">
        <v>34</v>
      </c>
      <c r="P45">
        <v>4.4000000000000004</v>
      </c>
      <c r="Q45" t="s">
        <v>136</v>
      </c>
      <c r="S45" t="s">
        <v>28</v>
      </c>
      <c r="T45" t="s">
        <v>156</v>
      </c>
      <c r="U45" t="s">
        <v>10</v>
      </c>
      <c r="V45">
        <v>9812345687</v>
      </c>
    </row>
    <row r="46" spans="1:22">
      <c r="A46">
        <v>836</v>
      </c>
      <c r="B46" t="s">
        <v>147</v>
      </c>
      <c r="C46" t="s">
        <v>148</v>
      </c>
      <c r="D46">
        <v>999</v>
      </c>
      <c r="E46">
        <v>43</v>
      </c>
      <c r="F46">
        <v>4.5999999999999996</v>
      </c>
      <c r="G46" t="s">
        <v>133</v>
      </c>
      <c r="K46">
        <v>654</v>
      </c>
      <c r="L46" t="s">
        <v>152</v>
      </c>
      <c r="M46" t="s">
        <v>135</v>
      </c>
      <c r="N46">
        <v>999</v>
      </c>
      <c r="O46">
        <v>28</v>
      </c>
      <c r="P46">
        <v>4.5999999999999996</v>
      </c>
      <c r="Q46" t="s">
        <v>131</v>
      </c>
      <c r="S46" t="s">
        <v>157</v>
      </c>
      <c r="T46" t="s">
        <v>36</v>
      </c>
      <c r="U46" t="s">
        <v>7</v>
      </c>
      <c r="V46">
        <v>9812345503</v>
      </c>
    </row>
    <row r="47" spans="1:22">
      <c r="A47">
        <v>919</v>
      </c>
      <c r="B47" t="s">
        <v>150</v>
      </c>
      <c r="C47" t="s">
        <v>130</v>
      </c>
      <c r="D47">
        <v>299</v>
      </c>
      <c r="E47">
        <v>12</v>
      </c>
      <c r="F47">
        <v>4.4000000000000004</v>
      </c>
      <c r="G47" t="s">
        <v>131</v>
      </c>
      <c r="K47">
        <v>310</v>
      </c>
      <c r="L47" t="s">
        <v>153</v>
      </c>
      <c r="M47" t="s">
        <v>148</v>
      </c>
      <c r="N47">
        <v>999</v>
      </c>
      <c r="O47">
        <v>32</v>
      </c>
      <c r="P47">
        <v>4.7</v>
      </c>
      <c r="Q47" t="s">
        <v>133</v>
      </c>
      <c r="S47" t="s">
        <v>158</v>
      </c>
      <c r="T47" t="s">
        <v>30</v>
      </c>
      <c r="U47" t="s">
        <v>13</v>
      </c>
      <c r="V47">
        <v>9812345372</v>
      </c>
    </row>
    <row r="48" spans="1:22">
      <c r="A48">
        <v>810</v>
      </c>
      <c r="B48" t="s">
        <v>147</v>
      </c>
      <c r="C48" t="s">
        <v>130</v>
      </c>
      <c r="D48">
        <v>1249</v>
      </c>
      <c r="E48">
        <v>48</v>
      </c>
      <c r="F48">
        <v>4.5999999999999996</v>
      </c>
      <c r="G48" t="s">
        <v>141</v>
      </c>
      <c r="K48">
        <v>373</v>
      </c>
      <c r="L48" t="s">
        <v>147</v>
      </c>
      <c r="M48" t="s">
        <v>138</v>
      </c>
      <c r="N48">
        <v>799</v>
      </c>
      <c r="O48">
        <v>11</v>
      </c>
      <c r="P48">
        <v>4.5</v>
      </c>
      <c r="Q48" t="s">
        <v>133</v>
      </c>
      <c r="S48" t="s">
        <v>159</v>
      </c>
      <c r="T48" t="s">
        <v>38</v>
      </c>
      <c r="U48" t="s">
        <v>19</v>
      </c>
      <c r="V48">
        <v>9812345805</v>
      </c>
    </row>
    <row r="49" spans="1:22">
      <c r="A49" s="10" t="s">
        <v>122</v>
      </c>
      <c r="B49" s="10" t="s">
        <v>123</v>
      </c>
      <c r="C49" s="10" t="s">
        <v>124</v>
      </c>
      <c r="D49" s="10" t="s">
        <v>125</v>
      </c>
      <c r="E49" s="10" t="s">
        <v>126</v>
      </c>
      <c r="F49" s="10" t="s">
        <v>127</v>
      </c>
      <c r="G49" s="10" t="s">
        <v>128</v>
      </c>
      <c r="K49">
        <v>616</v>
      </c>
      <c r="L49" t="s">
        <v>145</v>
      </c>
      <c r="M49" t="s">
        <v>135</v>
      </c>
      <c r="N49">
        <v>299</v>
      </c>
      <c r="O49">
        <v>10</v>
      </c>
      <c r="P49">
        <v>4.5</v>
      </c>
      <c r="Q49" t="s">
        <v>133</v>
      </c>
      <c r="S49" t="s">
        <v>161</v>
      </c>
      <c r="T49" t="s">
        <v>34</v>
      </c>
      <c r="U49" t="s">
        <v>13</v>
      </c>
      <c r="V49">
        <v>9812345409</v>
      </c>
    </row>
    <row r="50" spans="1:22">
      <c r="K50">
        <v>106</v>
      </c>
      <c r="L50" t="s">
        <v>142</v>
      </c>
      <c r="M50" t="s">
        <v>135</v>
      </c>
      <c r="N50">
        <v>329</v>
      </c>
      <c r="O50">
        <v>25</v>
      </c>
      <c r="P50">
        <v>4.4000000000000004</v>
      </c>
      <c r="Q50" t="s">
        <v>136</v>
      </c>
      <c r="S50" t="s">
        <v>162</v>
      </c>
      <c r="T50" t="s">
        <v>48</v>
      </c>
      <c r="U50" t="s">
        <v>16</v>
      </c>
      <c r="V50">
        <v>9812345541</v>
      </c>
    </row>
    <row r="51" spans="1:22">
      <c r="K51">
        <v>951</v>
      </c>
      <c r="L51" t="s">
        <v>154</v>
      </c>
      <c r="M51" t="s">
        <v>135</v>
      </c>
      <c r="N51">
        <v>1249</v>
      </c>
      <c r="O51">
        <v>26</v>
      </c>
      <c r="P51">
        <v>4.5</v>
      </c>
      <c r="Q51" t="s">
        <v>136</v>
      </c>
      <c r="S51" t="s">
        <v>163</v>
      </c>
      <c r="T51" t="s">
        <v>30</v>
      </c>
      <c r="U51" t="s">
        <v>19</v>
      </c>
      <c r="V51">
        <v>9812345150</v>
      </c>
    </row>
    <row r="52" spans="1:22">
      <c r="K52">
        <v>856</v>
      </c>
      <c r="L52" t="s">
        <v>144</v>
      </c>
      <c r="M52" t="s">
        <v>148</v>
      </c>
      <c r="N52">
        <v>999</v>
      </c>
      <c r="O52">
        <v>8</v>
      </c>
      <c r="P52">
        <v>4.7</v>
      </c>
      <c r="Q52" t="s">
        <v>139</v>
      </c>
      <c r="S52" t="s">
        <v>164</v>
      </c>
      <c r="T52" t="s">
        <v>32</v>
      </c>
      <c r="U52" t="s">
        <v>13</v>
      </c>
      <c r="V52">
        <v>9812345109</v>
      </c>
    </row>
    <row r="53" spans="1:22">
      <c r="K53">
        <v>358</v>
      </c>
      <c r="L53" t="s">
        <v>147</v>
      </c>
      <c r="M53" t="s">
        <v>135</v>
      </c>
      <c r="N53">
        <v>799</v>
      </c>
      <c r="O53">
        <v>29</v>
      </c>
      <c r="P53">
        <v>4.8</v>
      </c>
      <c r="Q53" t="s">
        <v>136</v>
      </c>
      <c r="S53" t="s">
        <v>165</v>
      </c>
      <c r="T53" t="s">
        <v>48</v>
      </c>
      <c r="U53" t="s">
        <v>7</v>
      </c>
      <c r="V53">
        <v>9812345203</v>
      </c>
    </row>
    <row r="54" spans="1:22">
      <c r="K54">
        <v>175</v>
      </c>
      <c r="L54" t="s">
        <v>153</v>
      </c>
      <c r="M54" t="s">
        <v>138</v>
      </c>
      <c r="N54">
        <v>299</v>
      </c>
      <c r="O54">
        <v>34</v>
      </c>
      <c r="P54">
        <v>4.5999999999999996</v>
      </c>
      <c r="Q54" t="s">
        <v>133</v>
      </c>
      <c r="S54" t="s">
        <v>166</v>
      </c>
      <c r="T54" t="s">
        <v>30</v>
      </c>
      <c r="U54" t="s">
        <v>16</v>
      </c>
      <c r="V54">
        <v>9812345343</v>
      </c>
    </row>
    <row r="55" spans="1:22">
      <c r="K55">
        <v>690</v>
      </c>
      <c r="L55" t="s">
        <v>154</v>
      </c>
      <c r="M55" t="s">
        <v>130</v>
      </c>
      <c r="N55">
        <v>299</v>
      </c>
      <c r="O55">
        <v>28</v>
      </c>
      <c r="P55">
        <v>4.7</v>
      </c>
      <c r="Q55" t="s">
        <v>139</v>
      </c>
      <c r="S55" t="s">
        <v>167</v>
      </c>
      <c r="T55" t="s">
        <v>48</v>
      </c>
      <c r="U55" t="s">
        <v>7</v>
      </c>
      <c r="V55">
        <v>9812345558</v>
      </c>
    </row>
    <row r="56" spans="1:22">
      <c r="K56">
        <v>108</v>
      </c>
      <c r="L56" t="s">
        <v>143</v>
      </c>
      <c r="M56" t="s">
        <v>138</v>
      </c>
      <c r="N56">
        <v>1299</v>
      </c>
      <c r="O56">
        <v>6</v>
      </c>
      <c r="P56">
        <v>4.8</v>
      </c>
      <c r="Q56" t="s">
        <v>139</v>
      </c>
      <c r="S56" t="s">
        <v>168</v>
      </c>
      <c r="T56" t="s">
        <v>38</v>
      </c>
      <c r="U56" t="s">
        <v>10</v>
      </c>
      <c r="V56">
        <v>9812345032</v>
      </c>
    </row>
    <row r="57" spans="1:22">
      <c r="K57">
        <v>355</v>
      </c>
      <c r="L57" t="s">
        <v>145</v>
      </c>
      <c r="M57" t="s">
        <v>138</v>
      </c>
      <c r="N57">
        <v>799</v>
      </c>
      <c r="O57">
        <v>5</v>
      </c>
      <c r="P57">
        <v>4.5999999999999996</v>
      </c>
      <c r="Q57" t="s">
        <v>131</v>
      </c>
      <c r="S57" t="s">
        <v>169</v>
      </c>
      <c r="T57" t="s">
        <v>30</v>
      </c>
      <c r="U57" t="s">
        <v>10</v>
      </c>
      <c r="V57">
        <v>9812345582</v>
      </c>
    </row>
    <row r="58" spans="1:22">
      <c r="K58">
        <v>836</v>
      </c>
      <c r="L58" t="s">
        <v>147</v>
      </c>
      <c r="M58" t="s">
        <v>148</v>
      </c>
      <c r="N58">
        <v>999</v>
      </c>
      <c r="O58">
        <v>43</v>
      </c>
      <c r="P58">
        <v>4.5999999999999996</v>
      </c>
      <c r="Q58" t="s">
        <v>133</v>
      </c>
      <c r="S58" t="s">
        <v>170</v>
      </c>
      <c r="T58" t="s">
        <v>30</v>
      </c>
      <c r="U58" t="s">
        <v>7</v>
      </c>
      <c r="V58">
        <v>9812345318</v>
      </c>
    </row>
    <row r="59" spans="1:22">
      <c r="K59">
        <v>919</v>
      </c>
      <c r="L59" t="s">
        <v>150</v>
      </c>
      <c r="M59" t="s">
        <v>130</v>
      </c>
      <c r="N59">
        <v>299</v>
      </c>
      <c r="O59">
        <v>12</v>
      </c>
      <c r="P59">
        <v>4.4000000000000004</v>
      </c>
      <c r="Q59" t="s">
        <v>131</v>
      </c>
      <c r="S59" t="s">
        <v>171</v>
      </c>
      <c r="T59" t="s">
        <v>46</v>
      </c>
      <c r="U59" t="s">
        <v>16</v>
      </c>
      <c r="V59">
        <v>9812345517</v>
      </c>
    </row>
    <row r="60" spans="1:22">
      <c r="K60">
        <v>810</v>
      </c>
      <c r="L60" t="s">
        <v>147</v>
      </c>
      <c r="M60" t="s">
        <v>130</v>
      </c>
      <c r="N60">
        <v>1249</v>
      </c>
      <c r="O60">
        <v>48</v>
      </c>
      <c r="P60">
        <v>4.5999999999999996</v>
      </c>
      <c r="Q60" t="s">
        <v>141</v>
      </c>
      <c r="S60" t="s">
        <v>172</v>
      </c>
      <c r="T60" t="s">
        <v>36</v>
      </c>
      <c r="U60" t="s">
        <v>7</v>
      </c>
      <c r="V60">
        <v>9812345010</v>
      </c>
    </row>
    <row r="63" spans="1:22" ht="28.8">
      <c r="G63" s="16" t="s">
        <v>217</v>
      </c>
      <c r="H63" s="17"/>
      <c r="I63" s="17"/>
    </row>
    <row r="64" spans="1:22" ht="21">
      <c r="E64" s="14" t="s">
        <v>218</v>
      </c>
      <c r="F64" s="14" t="s">
        <v>219</v>
      </c>
      <c r="G64" s="14"/>
      <c r="H64" s="14"/>
      <c r="I64" s="14"/>
      <c r="J64" s="14"/>
      <c r="K64" s="14"/>
      <c r="L64" s="14"/>
      <c r="M64" s="14"/>
      <c r="N64" s="14"/>
    </row>
    <row r="65" spans="5:22" ht="21">
      <c r="E65" s="14" t="s">
        <v>220</v>
      </c>
      <c r="F65" s="14" t="s">
        <v>221</v>
      </c>
      <c r="G65" s="14" t="s">
        <v>234</v>
      </c>
      <c r="H65" s="14"/>
      <c r="I65" s="14"/>
      <c r="J65" s="14"/>
      <c r="K65" s="14"/>
      <c r="L65" s="14"/>
      <c r="M65" s="14"/>
      <c r="N65" s="14"/>
    </row>
    <row r="66" spans="5:22" ht="21">
      <c r="E66" s="14" t="s">
        <v>222</v>
      </c>
      <c r="F66" s="14" t="s">
        <v>223</v>
      </c>
      <c r="G66" s="14"/>
      <c r="H66" s="14"/>
      <c r="I66" s="14"/>
      <c r="J66" s="14"/>
      <c r="K66" s="14"/>
      <c r="L66" s="14" t="s">
        <v>224</v>
      </c>
      <c r="M66" s="14"/>
      <c r="N66" s="14"/>
    </row>
    <row r="67" spans="5:22" ht="21">
      <c r="E67" s="14" t="s">
        <v>225</v>
      </c>
      <c r="F67" s="14" t="s">
        <v>226</v>
      </c>
      <c r="G67" s="14"/>
      <c r="H67" s="14"/>
      <c r="I67" s="14"/>
      <c r="J67" s="14"/>
      <c r="K67" s="14"/>
      <c r="L67" s="14"/>
      <c r="M67" s="14"/>
      <c r="N67" s="14"/>
    </row>
    <row r="68" spans="5:22" ht="18">
      <c r="F68" s="13" t="s">
        <v>227</v>
      </c>
      <c r="G68" s="15"/>
    </row>
    <row r="70" spans="5:22" ht="18">
      <c r="F70" s="13" t="s">
        <v>228</v>
      </c>
    </row>
    <row r="71" spans="5:22" ht="21">
      <c r="E71" s="14" t="s">
        <v>229</v>
      </c>
      <c r="F71" s="14" t="s">
        <v>230</v>
      </c>
      <c r="G71" s="14"/>
      <c r="H71" s="14"/>
      <c r="I71" s="14" t="s">
        <v>231</v>
      </c>
      <c r="J71" s="14"/>
      <c r="K71" s="14"/>
      <c r="L71" s="14"/>
      <c r="M71" s="14"/>
      <c r="N71" s="14"/>
      <c r="O71" s="14"/>
      <c r="P71" s="14"/>
      <c r="Q71" s="14"/>
      <c r="R71" s="14"/>
      <c r="S71" s="14"/>
      <c r="T71" s="14"/>
      <c r="U71" s="14"/>
      <c r="V71" s="14"/>
    </row>
    <row r="72" spans="5:22" ht="21">
      <c r="E72" s="14" t="s">
        <v>232</v>
      </c>
      <c r="F72" s="14"/>
      <c r="G72" s="14"/>
      <c r="H72" s="14"/>
      <c r="I72" s="14" t="s">
        <v>233</v>
      </c>
      <c r="J72" s="14"/>
      <c r="K72" s="14"/>
      <c r="L72" s="14"/>
      <c r="M72" s="14"/>
      <c r="N72" s="14"/>
      <c r="O72" s="14"/>
      <c r="P72" s="14"/>
      <c r="Q72" s="14"/>
      <c r="R72" s="14"/>
      <c r="S72" s="14"/>
      <c r="T72" s="14"/>
      <c r="U72" s="14"/>
      <c r="V72" s="14"/>
    </row>
    <row r="73" spans="5:22" ht="21">
      <c r="E73" s="14" t="s">
        <v>235</v>
      </c>
      <c r="F73" s="14"/>
      <c r="G73" s="14"/>
      <c r="H73" s="14"/>
      <c r="I73" s="14"/>
      <c r="J73" s="14"/>
      <c r="K73" s="14"/>
      <c r="L73" s="14"/>
      <c r="M73" s="14"/>
      <c r="N73" s="14"/>
      <c r="O73" s="14"/>
      <c r="P73" s="14"/>
      <c r="Q73" s="14"/>
      <c r="R73" s="14"/>
      <c r="S73" s="14"/>
      <c r="T73" s="14"/>
      <c r="U73" s="14"/>
      <c r="V73" s="14"/>
    </row>
  </sheetData>
  <mergeCells count="4">
    <mergeCell ref="M1:Q1"/>
    <mergeCell ref="A1:H1"/>
    <mergeCell ref="S1:U1"/>
    <mergeCell ref="S34:U3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95A91-3780-44FB-9404-94ABC331D81F}">
  <sheetPr codeName="Sheet4"/>
  <dimension ref="A1:AA34"/>
  <sheetViews>
    <sheetView workbookViewId="0">
      <selection activeCell="F9" sqref="F9"/>
    </sheetView>
  </sheetViews>
  <sheetFormatPr defaultRowHeight="14.4"/>
  <cols>
    <col min="1" max="1" width="12.109375" customWidth="1"/>
    <col min="2" max="2" width="15.44140625" customWidth="1"/>
    <col min="3" max="3" width="11.33203125" customWidth="1"/>
    <col min="4" max="4" width="15.6640625" customWidth="1"/>
    <col min="5" max="5" width="9.5546875" customWidth="1"/>
    <col min="6" max="6" width="60.5546875" customWidth="1"/>
  </cols>
  <sheetData>
    <row r="1" spans="1:27" ht="15.6">
      <c r="C1" s="12" t="s">
        <v>173</v>
      </c>
      <c r="D1" s="11"/>
      <c r="E1" s="12" t="s">
        <v>248</v>
      </c>
    </row>
    <row r="2" spans="1:27">
      <c r="A2" s="10" t="s">
        <v>174</v>
      </c>
      <c r="B2" s="10" t="s">
        <v>175</v>
      </c>
      <c r="C2" s="10" t="s">
        <v>124</v>
      </c>
      <c r="D2" s="10" t="s">
        <v>125</v>
      </c>
      <c r="E2" s="10" t="s">
        <v>176</v>
      </c>
      <c r="F2" s="10" t="s">
        <v>177</v>
      </c>
    </row>
    <row r="3" spans="1:27" ht="21">
      <c r="A3" t="s">
        <v>178</v>
      </c>
      <c r="B3" t="s">
        <v>179</v>
      </c>
      <c r="C3" t="s">
        <v>180</v>
      </c>
      <c r="D3">
        <v>499.99</v>
      </c>
      <c r="E3">
        <v>25</v>
      </c>
      <c r="F3" t="s">
        <v>181</v>
      </c>
      <c r="I3" s="18" t="s">
        <v>237</v>
      </c>
    </row>
    <row r="4" spans="1:27">
      <c r="A4" t="s">
        <v>182</v>
      </c>
      <c r="B4" t="s">
        <v>183</v>
      </c>
      <c r="C4" t="s">
        <v>184</v>
      </c>
      <c r="D4">
        <v>299.5</v>
      </c>
      <c r="E4">
        <v>45</v>
      </c>
      <c r="F4" t="s">
        <v>185</v>
      </c>
    </row>
    <row r="5" spans="1:27" ht="15.6">
      <c r="H5" s="19" t="s">
        <v>238</v>
      </c>
      <c r="I5" s="19" t="s">
        <v>239</v>
      </c>
      <c r="J5" s="19"/>
      <c r="K5" s="19"/>
      <c r="L5" s="19"/>
      <c r="M5" s="19"/>
      <c r="N5" s="19"/>
      <c r="O5" s="19"/>
    </row>
    <row r="6" spans="1:27" ht="15.6">
      <c r="A6" t="s">
        <v>186</v>
      </c>
      <c r="B6" t="s">
        <v>187</v>
      </c>
      <c r="C6" t="s">
        <v>188</v>
      </c>
      <c r="D6">
        <v>149.75</v>
      </c>
      <c r="E6">
        <v>60</v>
      </c>
      <c r="F6" t="s">
        <v>189</v>
      </c>
      <c r="H6" s="19"/>
      <c r="I6" s="19" t="s">
        <v>240</v>
      </c>
      <c r="J6" s="19"/>
      <c r="K6" s="19"/>
      <c r="L6" s="19"/>
      <c r="M6" s="19"/>
      <c r="N6" s="19"/>
      <c r="O6" s="19"/>
    </row>
    <row r="7" spans="1:27" ht="15.6">
      <c r="A7" t="s">
        <v>190</v>
      </c>
      <c r="B7" t="s">
        <v>191</v>
      </c>
      <c r="C7" t="s">
        <v>192</v>
      </c>
      <c r="D7">
        <v>850</v>
      </c>
      <c r="E7">
        <v>12</v>
      </c>
      <c r="F7" t="s">
        <v>193</v>
      </c>
      <c r="H7" s="19" t="s">
        <v>241</v>
      </c>
      <c r="I7" s="19" t="s">
        <v>242</v>
      </c>
      <c r="J7" s="19"/>
      <c r="K7" s="19"/>
      <c r="L7" s="19"/>
      <c r="M7" s="19"/>
      <c r="N7" s="19"/>
      <c r="O7" s="19"/>
    </row>
    <row r="8" spans="1:27" ht="15.6">
      <c r="H8" s="19"/>
      <c r="I8" s="19" t="s">
        <v>243</v>
      </c>
      <c r="J8" s="19"/>
      <c r="K8" s="19"/>
      <c r="L8" s="19"/>
      <c r="M8" s="19"/>
      <c r="N8" s="19"/>
      <c r="O8" s="19" t="s">
        <v>244</v>
      </c>
    </row>
    <row r="9" spans="1:27" ht="15.6">
      <c r="A9" t="s">
        <v>194</v>
      </c>
      <c r="B9" t="s">
        <v>195</v>
      </c>
      <c r="C9" t="s">
        <v>196</v>
      </c>
      <c r="D9">
        <v>399</v>
      </c>
      <c r="E9">
        <v>-5</v>
      </c>
      <c r="F9" t="s">
        <v>197</v>
      </c>
      <c r="H9" s="19"/>
      <c r="I9" s="19" t="s">
        <v>245</v>
      </c>
      <c r="J9" s="19"/>
      <c r="K9" s="19"/>
      <c r="L9" s="19"/>
      <c r="M9" s="19"/>
      <c r="N9" s="19"/>
      <c r="O9" s="19"/>
      <c r="T9" s="19"/>
      <c r="U9" s="19"/>
      <c r="V9" s="19"/>
      <c r="W9" s="19"/>
      <c r="X9" s="19"/>
      <c r="Y9" s="19"/>
      <c r="Z9" s="19"/>
      <c r="AA9" s="19"/>
    </row>
    <row r="10" spans="1:27" ht="15.6">
      <c r="A10" t="s">
        <v>198</v>
      </c>
      <c r="B10" t="s">
        <v>199</v>
      </c>
      <c r="C10" t="s">
        <v>180</v>
      </c>
      <c r="D10">
        <v>675.25</v>
      </c>
      <c r="E10">
        <v>20</v>
      </c>
      <c r="F10" t="s">
        <v>200</v>
      </c>
      <c r="H10" s="19"/>
      <c r="I10" s="19" t="s">
        <v>246</v>
      </c>
      <c r="J10" s="19"/>
      <c r="K10" s="19"/>
      <c r="L10" s="19"/>
      <c r="M10" s="19" t="s">
        <v>250</v>
      </c>
      <c r="N10" s="19"/>
      <c r="O10" s="19"/>
      <c r="T10" s="19" t="s">
        <v>251</v>
      </c>
      <c r="U10" s="19"/>
      <c r="V10" s="19"/>
      <c r="W10" s="19"/>
      <c r="X10" s="19" t="s">
        <v>252</v>
      </c>
      <c r="Y10" s="19"/>
      <c r="Z10" s="19"/>
      <c r="AA10" s="19"/>
    </row>
    <row r="11" spans="1:27" ht="15.6">
      <c r="H11" s="19"/>
      <c r="I11" s="19" t="s">
        <v>247</v>
      </c>
      <c r="J11" s="19"/>
      <c r="K11" s="19"/>
      <c r="L11" s="19"/>
      <c r="M11" s="19"/>
      <c r="N11" s="19"/>
      <c r="O11" s="19"/>
    </row>
    <row r="12" spans="1:27">
      <c r="A12" t="s">
        <v>201</v>
      </c>
      <c r="B12" t="s">
        <v>202</v>
      </c>
      <c r="C12" t="s">
        <v>184</v>
      </c>
      <c r="D12">
        <v>243.1</v>
      </c>
      <c r="E12">
        <v>38</v>
      </c>
      <c r="F12" t="s">
        <v>203</v>
      </c>
    </row>
    <row r="13" spans="1:27">
      <c r="A13" t="s">
        <v>204</v>
      </c>
      <c r="B13" t="s">
        <v>205</v>
      </c>
      <c r="C13" t="s">
        <v>188</v>
      </c>
      <c r="D13">
        <v>198.9</v>
      </c>
      <c r="E13">
        <v>71</v>
      </c>
      <c r="F13" t="s">
        <v>206</v>
      </c>
    </row>
    <row r="15" spans="1:27">
      <c r="A15" t="s">
        <v>207</v>
      </c>
      <c r="B15" t="s">
        <v>208</v>
      </c>
      <c r="C15" t="s">
        <v>192</v>
      </c>
      <c r="D15">
        <v>529</v>
      </c>
      <c r="E15">
        <v>33</v>
      </c>
      <c r="F15" t="s">
        <v>209</v>
      </c>
    </row>
    <row r="16" spans="1:27">
      <c r="A16" t="s">
        <v>210</v>
      </c>
      <c r="B16" t="s">
        <v>211</v>
      </c>
      <c r="C16" t="s">
        <v>196</v>
      </c>
      <c r="D16">
        <v>610.20000000000005</v>
      </c>
      <c r="E16">
        <v>40</v>
      </c>
      <c r="F16" t="s">
        <v>212</v>
      </c>
    </row>
    <row r="21" spans="1:6" ht="18">
      <c r="D21" s="13" t="s">
        <v>236</v>
      </c>
      <c r="E21" s="13"/>
      <c r="F21" s="13" t="s">
        <v>249</v>
      </c>
    </row>
    <row r="24" spans="1:6">
      <c r="A24" s="10" t="s">
        <v>174</v>
      </c>
      <c r="B24" s="10" t="s">
        <v>175</v>
      </c>
      <c r="C24" s="10" t="s">
        <v>124</v>
      </c>
      <c r="D24" s="10" t="s">
        <v>125</v>
      </c>
      <c r="E24" s="10" t="s">
        <v>176</v>
      </c>
      <c r="F24" s="10" t="s">
        <v>177</v>
      </c>
    </row>
    <row r="25" spans="1:6">
      <c r="A25" t="s">
        <v>178</v>
      </c>
      <c r="B25" t="s">
        <v>179</v>
      </c>
      <c r="C25" t="s">
        <v>180</v>
      </c>
      <c r="D25">
        <v>499.99</v>
      </c>
      <c r="E25">
        <v>25</v>
      </c>
      <c r="F25" t="s">
        <v>181</v>
      </c>
    </row>
    <row r="26" spans="1:6">
      <c r="A26" t="s">
        <v>182</v>
      </c>
      <c r="B26" t="s">
        <v>183</v>
      </c>
      <c r="C26" t="s">
        <v>184</v>
      </c>
      <c r="D26">
        <v>299.5</v>
      </c>
      <c r="E26">
        <v>45</v>
      </c>
      <c r="F26" t="s">
        <v>185</v>
      </c>
    </row>
    <row r="27" spans="1:6">
      <c r="A27" t="s">
        <v>186</v>
      </c>
      <c r="B27" t="s">
        <v>187</v>
      </c>
      <c r="C27" t="s">
        <v>188</v>
      </c>
      <c r="D27">
        <v>149.75</v>
      </c>
      <c r="E27">
        <v>60</v>
      </c>
      <c r="F27" t="s">
        <v>189</v>
      </c>
    </row>
    <row r="28" spans="1:6">
      <c r="A28" t="s">
        <v>190</v>
      </c>
      <c r="B28" t="s">
        <v>191</v>
      </c>
      <c r="C28" t="s">
        <v>192</v>
      </c>
      <c r="D28">
        <v>850</v>
      </c>
      <c r="E28">
        <v>12</v>
      </c>
      <c r="F28" t="s">
        <v>193</v>
      </c>
    </row>
    <row r="29" spans="1:6">
      <c r="A29" t="s">
        <v>194</v>
      </c>
      <c r="B29" t="s">
        <v>195</v>
      </c>
      <c r="C29" t="s">
        <v>196</v>
      </c>
      <c r="D29">
        <v>399</v>
      </c>
      <c r="E29">
        <v>-5</v>
      </c>
      <c r="F29" t="s">
        <v>197</v>
      </c>
    </row>
    <row r="30" spans="1:6">
      <c r="A30" t="s">
        <v>198</v>
      </c>
      <c r="B30" t="s">
        <v>199</v>
      </c>
      <c r="C30" t="s">
        <v>180</v>
      </c>
      <c r="D30">
        <v>675.25</v>
      </c>
      <c r="E30">
        <v>20</v>
      </c>
      <c r="F30" t="s">
        <v>200</v>
      </c>
    </row>
    <row r="31" spans="1:6">
      <c r="A31" t="s">
        <v>201</v>
      </c>
      <c r="B31" t="s">
        <v>202</v>
      </c>
      <c r="C31" t="s">
        <v>184</v>
      </c>
      <c r="D31">
        <v>243.1</v>
      </c>
      <c r="E31">
        <v>38</v>
      </c>
      <c r="F31" t="s">
        <v>203</v>
      </c>
    </row>
    <row r="32" spans="1:6">
      <c r="A32" t="s">
        <v>204</v>
      </c>
      <c r="B32" t="s">
        <v>205</v>
      </c>
      <c r="C32" t="s">
        <v>188</v>
      </c>
      <c r="D32">
        <v>198.9</v>
      </c>
      <c r="E32">
        <v>71</v>
      </c>
      <c r="F32" t="s">
        <v>206</v>
      </c>
    </row>
    <row r="33" spans="1:6">
      <c r="A33" t="s">
        <v>207</v>
      </c>
      <c r="B33" t="s">
        <v>208</v>
      </c>
      <c r="C33" t="s">
        <v>192</v>
      </c>
      <c r="D33">
        <v>529</v>
      </c>
      <c r="E33">
        <v>33</v>
      </c>
      <c r="F33" t="s">
        <v>209</v>
      </c>
    </row>
    <row r="34" spans="1:6">
      <c r="A34" t="s">
        <v>210</v>
      </c>
      <c r="B34" t="s">
        <v>211</v>
      </c>
      <c r="C34" t="s">
        <v>196</v>
      </c>
      <c r="D34">
        <v>610.20000000000005</v>
      </c>
      <c r="E34">
        <v>40</v>
      </c>
      <c r="F34" t="s">
        <v>212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65A06-F503-416A-9E38-054F28F47EEB}">
  <sheetPr codeName="Sheet5"/>
  <dimension ref="A1:L76"/>
  <sheetViews>
    <sheetView topLeftCell="M42" workbookViewId="0">
      <selection activeCell="AB69" sqref="AB69"/>
    </sheetView>
  </sheetViews>
  <sheetFormatPr defaultRowHeight="14.4"/>
  <cols>
    <col min="1" max="1" width="25.33203125" customWidth="1"/>
    <col min="2" max="2" width="29" customWidth="1"/>
    <col min="3" max="3" width="28.5546875" customWidth="1"/>
    <col min="4" max="4" width="27.33203125" customWidth="1"/>
    <col min="5" max="5" width="22.21875" customWidth="1"/>
    <col min="6" max="6" width="14.33203125" customWidth="1"/>
    <col min="7" max="7" width="20.109375" customWidth="1"/>
    <col min="8" max="8" width="16.33203125" customWidth="1"/>
    <col min="9" max="9" width="13.33203125" customWidth="1"/>
    <col min="10" max="11" width="16.77734375" customWidth="1"/>
    <col min="12" max="12" width="14" customWidth="1"/>
  </cols>
  <sheetData>
    <row r="1" spans="1:12">
      <c r="A1" s="10" t="s">
        <v>122</v>
      </c>
      <c r="B1" s="10"/>
      <c r="C1" s="10"/>
      <c r="D1" s="10"/>
      <c r="E1" s="10" t="s">
        <v>124</v>
      </c>
      <c r="F1" s="10"/>
      <c r="G1" s="10"/>
      <c r="H1" s="10" t="s">
        <v>253</v>
      </c>
      <c r="I1" s="10" t="s">
        <v>125</v>
      </c>
      <c r="J1" s="10" t="s">
        <v>126</v>
      </c>
      <c r="K1" s="10" t="s">
        <v>127</v>
      </c>
      <c r="L1" s="10" t="s">
        <v>128</v>
      </c>
    </row>
    <row r="2" spans="1:12">
      <c r="A2">
        <v>101</v>
      </c>
      <c r="E2" t="s">
        <v>254</v>
      </c>
      <c r="H2">
        <f>LEN(E2)</f>
        <v>11</v>
      </c>
      <c r="I2">
        <v>799</v>
      </c>
      <c r="J2">
        <v>50</v>
      </c>
      <c r="K2">
        <v>4.5</v>
      </c>
      <c r="L2" t="s">
        <v>131</v>
      </c>
    </row>
    <row r="3" spans="1:12">
      <c r="A3">
        <v>102</v>
      </c>
      <c r="E3" t="s">
        <v>255</v>
      </c>
      <c r="H3">
        <f t="shared" ref="H3:H11" si="0">LEN(E3)</f>
        <v>9</v>
      </c>
      <c r="I3">
        <v>999</v>
      </c>
      <c r="J3">
        <v>30</v>
      </c>
      <c r="K3">
        <v>4.7</v>
      </c>
      <c r="L3" t="s">
        <v>133</v>
      </c>
    </row>
    <row r="4" spans="1:12">
      <c r="A4">
        <v>103</v>
      </c>
      <c r="E4" t="s">
        <v>256</v>
      </c>
      <c r="H4">
        <f t="shared" si="0"/>
        <v>14</v>
      </c>
      <c r="I4">
        <v>399</v>
      </c>
      <c r="J4">
        <v>15</v>
      </c>
      <c r="K4">
        <v>4.5999999999999996</v>
      </c>
      <c r="L4" t="s">
        <v>136</v>
      </c>
    </row>
    <row r="5" spans="1:12">
      <c r="A5">
        <v>104</v>
      </c>
      <c r="E5" t="s">
        <v>257</v>
      </c>
      <c r="H5">
        <f t="shared" si="0"/>
        <v>9</v>
      </c>
      <c r="I5">
        <v>1249</v>
      </c>
      <c r="J5">
        <v>10</v>
      </c>
      <c r="K5">
        <v>4.8</v>
      </c>
      <c r="L5" t="s">
        <v>139</v>
      </c>
    </row>
    <row r="6" spans="1:12">
      <c r="A6">
        <v>101</v>
      </c>
      <c r="E6" t="s">
        <v>258</v>
      </c>
      <c r="H6">
        <f t="shared" si="0"/>
        <v>10</v>
      </c>
      <c r="I6">
        <v>799</v>
      </c>
      <c r="J6">
        <v>50</v>
      </c>
      <c r="K6">
        <v>4.5</v>
      </c>
      <c r="L6" t="s">
        <v>131</v>
      </c>
    </row>
    <row r="7" spans="1:12">
      <c r="A7">
        <v>105</v>
      </c>
      <c r="E7" t="s">
        <v>257</v>
      </c>
      <c r="H7">
        <f t="shared" si="0"/>
        <v>9</v>
      </c>
      <c r="I7">
        <v>1349</v>
      </c>
      <c r="J7">
        <v>8</v>
      </c>
      <c r="K7">
        <v>4.7</v>
      </c>
      <c r="L7" t="s">
        <v>141</v>
      </c>
    </row>
    <row r="8" spans="1:12">
      <c r="A8">
        <v>106</v>
      </c>
      <c r="E8" t="s">
        <v>256</v>
      </c>
      <c r="H8">
        <f t="shared" si="0"/>
        <v>14</v>
      </c>
      <c r="I8">
        <v>329</v>
      </c>
      <c r="J8">
        <v>25</v>
      </c>
      <c r="K8">
        <v>4.4000000000000004</v>
      </c>
      <c r="L8" t="s">
        <v>136</v>
      </c>
    </row>
    <row r="9" spans="1:12">
      <c r="A9">
        <v>107</v>
      </c>
      <c r="E9" t="s">
        <v>256</v>
      </c>
      <c r="H9">
        <f t="shared" si="0"/>
        <v>14</v>
      </c>
      <c r="I9">
        <v>399</v>
      </c>
      <c r="J9">
        <v>15</v>
      </c>
      <c r="K9">
        <v>4.5999999999999996</v>
      </c>
      <c r="L9" t="s">
        <v>136</v>
      </c>
    </row>
    <row r="10" spans="1:12">
      <c r="A10">
        <v>108</v>
      </c>
      <c r="E10" t="s">
        <v>259</v>
      </c>
      <c r="H10">
        <f t="shared" si="0"/>
        <v>12</v>
      </c>
      <c r="I10">
        <v>1299</v>
      </c>
      <c r="J10">
        <v>6</v>
      </c>
      <c r="K10">
        <v>4.8</v>
      </c>
      <c r="L10" t="s">
        <v>139</v>
      </c>
    </row>
    <row r="11" spans="1:12">
      <c r="A11">
        <v>103</v>
      </c>
      <c r="E11" t="s">
        <v>256</v>
      </c>
      <c r="H11">
        <f t="shared" si="0"/>
        <v>14</v>
      </c>
      <c r="I11">
        <v>399</v>
      </c>
      <c r="J11">
        <v>15</v>
      </c>
      <c r="K11">
        <v>4.5999999999999996</v>
      </c>
      <c r="L11" t="s">
        <v>136</v>
      </c>
    </row>
    <row r="13" spans="1:12" ht="18">
      <c r="E13" s="13" t="s">
        <v>260</v>
      </c>
      <c r="F13" s="13"/>
      <c r="G13" s="13"/>
    </row>
    <row r="20" spans="1:12" ht="21">
      <c r="H20" s="18" t="s">
        <v>261</v>
      </c>
    </row>
    <row r="22" spans="1:12">
      <c r="A22" s="10" t="s">
        <v>122</v>
      </c>
      <c r="B22" s="10"/>
      <c r="C22" s="10"/>
      <c r="D22" s="10"/>
      <c r="E22" s="10" t="s">
        <v>124</v>
      </c>
      <c r="F22" s="10" t="s">
        <v>262</v>
      </c>
      <c r="G22" s="10" t="s">
        <v>264</v>
      </c>
      <c r="H22" s="10" t="s">
        <v>263</v>
      </c>
      <c r="I22" s="10" t="s">
        <v>125</v>
      </c>
      <c r="J22" s="10" t="s">
        <v>126</v>
      </c>
      <c r="K22" s="10" t="s">
        <v>127</v>
      </c>
      <c r="L22" s="10" t="s">
        <v>128</v>
      </c>
    </row>
    <row r="23" spans="1:12">
      <c r="A23">
        <v>101</v>
      </c>
      <c r="E23" t="s">
        <v>254</v>
      </c>
      <c r="F23" t="str">
        <f>TRIM(E23)</f>
        <v>Mobile</v>
      </c>
      <c r="G23">
        <f>LEN(F23)</f>
        <v>6</v>
      </c>
      <c r="H23">
        <f>LEN(E23)</f>
        <v>11</v>
      </c>
      <c r="I23">
        <v>799</v>
      </c>
      <c r="J23">
        <v>50</v>
      </c>
      <c r="K23">
        <v>4.5</v>
      </c>
      <c r="L23" t="s">
        <v>131</v>
      </c>
    </row>
    <row r="24" spans="1:12">
      <c r="A24">
        <v>102</v>
      </c>
      <c r="E24" t="s">
        <v>255</v>
      </c>
      <c r="F24" t="str">
        <f t="shared" ref="F24:F32" si="1">TRIM(E24)</f>
        <v>Mobile</v>
      </c>
      <c r="G24">
        <f t="shared" ref="G24:G33" si="2">LEN(F24)</f>
        <v>6</v>
      </c>
      <c r="H24">
        <f t="shared" ref="H24:H32" si="3">LEN(E24)</f>
        <v>9</v>
      </c>
      <c r="I24">
        <v>999</v>
      </c>
      <c r="J24">
        <v>30</v>
      </c>
      <c r="K24">
        <v>4.7</v>
      </c>
      <c r="L24" t="s">
        <v>133</v>
      </c>
    </row>
    <row r="25" spans="1:12">
      <c r="A25">
        <v>103</v>
      </c>
      <c r="E25" t="s">
        <v>256</v>
      </c>
      <c r="F25" t="str">
        <f t="shared" si="1"/>
        <v>Headphones</v>
      </c>
      <c r="G25">
        <f t="shared" si="2"/>
        <v>10</v>
      </c>
      <c r="H25">
        <f t="shared" si="3"/>
        <v>14</v>
      </c>
      <c r="I25">
        <v>399</v>
      </c>
      <c r="J25">
        <v>15</v>
      </c>
      <c r="K25">
        <v>4.5999999999999996</v>
      </c>
      <c r="L25" t="s">
        <v>136</v>
      </c>
    </row>
    <row r="26" spans="1:12">
      <c r="A26">
        <v>104</v>
      </c>
      <c r="E26" t="s">
        <v>257</v>
      </c>
      <c r="F26" t="str">
        <f t="shared" si="1"/>
        <v>Laptop</v>
      </c>
      <c r="G26">
        <f t="shared" si="2"/>
        <v>6</v>
      </c>
      <c r="H26">
        <f t="shared" si="3"/>
        <v>9</v>
      </c>
      <c r="I26">
        <v>1249</v>
      </c>
      <c r="J26">
        <v>10</v>
      </c>
      <c r="K26">
        <v>4.8</v>
      </c>
      <c r="L26" t="s">
        <v>139</v>
      </c>
    </row>
    <row r="27" spans="1:12">
      <c r="A27">
        <v>101</v>
      </c>
      <c r="E27" t="s">
        <v>258</v>
      </c>
      <c r="F27" t="str">
        <f t="shared" si="1"/>
        <v>Mobile</v>
      </c>
      <c r="G27">
        <f t="shared" si="2"/>
        <v>6</v>
      </c>
      <c r="H27" t="s">
        <v>121</v>
      </c>
      <c r="I27">
        <v>799</v>
      </c>
      <c r="J27">
        <v>50</v>
      </c>
      <c r="K27">
        <v>4.5</v>
      </c>
      <c r="L27" t="s">
        <v>131</v>
      </c>
    </row>
    <row r="28" spans="1:12">
      <c r="A28">
        <v>105</v>
      </c>
      <c r="E28" t="s">
        <v>257</v>
      </c>
      <c r="F28" t="str">
        <f t="shared" si="1"/>
        <v>Laptop</v>
      </c>
      <c r="G28">
        <f t="shared" si="2"/>
        <v>6</v>
      </c>
      <c r="H28">
        <f t="shared" si="3"/>
        <v>9</v>
      </c>
      <c r="I28">
        <v>1349</v>
      </c>
      <c r="J28">
        <v>8</v>
      </c>
      <c r="K28">
        <v>4.7</v>
      </c>
      <c r="L28" t="s">
        <v>141</v>
      </c>
    </row>
    <row r="29" spans="1:12">
      <c r="A29">
        <v>106</v>
      </c>
      <c r="E29" t="s">
        <v>256</v>
      </c>
      <c r="F29" t="str">
        <f t="shared" si="1"/>
        <v>Headphones</v>
      </c>
      <c r="G29">
        <f t="shared" si="2"/>
        <v>10</v>
      </c>
      <c r="H29">
        <f t="shared" si="3"/>
        <v>14</v>
      </c>
      <c r="I29">
        <v>329</v>
      </c>
      <c r="J29">
        <v>25</v>
      </c>
      <c r="K29">
        <v>4.4000000000000004</v>
      </c>
      <c r="L29" t="s">
        <v>136</v>
      </c>
    </row>
    <row r="30" spans="1:12">
      <c r="A30">
        <v>107</v>
      </c>
      <c r="E30" t="s">
        <v>256</v>
      </c>
      <c r="F30" t="str">
        <f t="shared" si="1"/>
        <v>Headphones</v>
      </c>
      <c r="G30">
        <f t="shared" si="2"/>
        <v>10</v>
      </c>
      <c r="H30">
        <f t="shared" si="3"/>
        <v>14</v>
      </c>
      <c r="I30">
        <v>399</v>
      </c>
      <c r="J30">
        <v>15</v>
      </c>
      <c r="K30">
        <v>4.5999999999999996</v>
      </c>
      <c r="L30" t="s">
        <v>136</v>
      </c>
    </row>
    <row r="31" spans="1:12">
      <c r="A31">
        <v>108</v>
      </c>
      <c r="E31" t="s">
        <v>259</v>
      </c>
      <c r="F31" t="str">
        <f t="shared" si="1"/>
        <v>Laptop</v>
      </c>
      <c r="G31">
        <f t="shared" si="2"/>
        <v>6</v>
      </c>
      <c r="H31">
        <f t="shared" si="3"/>
        <v>12</v>
      </c>
      <c r="I31">
        <v>1299</v>
      </c>
      <c r="J31">
        <v>6</v>
      </c>
      <c r="K31">
        <v>4.8</v>
      </c>
      <c r="L31" t="s">
        <v>139</v>
      </c>
    </row>
    <row r="32" spans="1:12">
      <c r="A32">
        <v>103</v>
      </c>
      <c r="E32" t="s">
        <v>256</v>
      </c>
      <c r="F32" t="str">
        <f t="shared" si="1"/>
        <v>Headphones</v>
      </c>
      <c r="G32">
        <f t="shared" si="2"/>
        <v>10</v>
      </c>
      <c r="H32">
        <f t="shared" si="3"/>
        <v>14</v>
      </c>
      <c r="I32">
        <v>399</v>
      </c>
      <c r="J32">
        <v>15</v>
      </c>
      <c r="K32">
        <v>4.5999999999999996</v>
      </c>
      <c r="L32" t="s">
        <v>136</v>
      </c>
    </row>
    <row r="33" spans="1:8">
      <c r="G33">
        <f t="shared" si="2"/>
        <v>0</v>
      </c>
    </row>
    <row r="35" spans="1:8" ht="21">
      <c r="H35" s="18" t="s">
        <v>268</v>
      </c>
    </row>
    <row r="36" spans="1:8">
      <c r="F36" t="s">
        <v>265</v>
      </c>
    </row>
    <row r="37" spans="1:8">
      <c r="A37" t="s">
        <v>304</v>
      </c>
      <c r="F37" t="s">
        <v>266</v>
      </c>
      <c r="H37" t="s">
        <v>267</v>
      </c>
    </row>
    <row r="40" spans="1:8" ht="25.8">
      <c r="C40" s="20" t="s">
        <v>269</v>
      </c>
      <c r="D40" s="20"/>
      <c r="E40" s="20"/>
    </row>
    <row r="43" spans="1:8">
      <c r="A43" t="s">
        <v>291</v>
      </c>
      <c r="B43" t="s">
        <v>292</v>
      </c>
      <c r="C43" t="s">
        <v>293</v>
      </c>
      <c r="D43" t="s">
        <v>294</v>
      </c>
      <c r="E43" t="s">
        <v>295</v>
      </c>
    </row>
    <row r="44" spans="1:8">
      <c r="A44" t="s">
        <v>270</v>
      </c>
      <c r="B44" t="str">
        <f>SUBSTITUTE(A44,CHAR(160),"")</f>
        <v>WH1881NL01</v>
      </c>
      <c r="C44">
        <f>LEN(B44)</f>
        <v>10</v>
      </c>
      <c r="D44">
        <f>LEN(A44)</f>
        <v>11</v>
      </c>
      <c r="E44" t="str">
        <f t="shared" ref="E44:E64" si="4">SUBSTITUTE(B44,"WH","MH")</f>
        <v>MH1881NL01</v>
      </c>
    </row>
    <row r="45" spans="1:8">
      <c r="A45" t="s">
        <v>271</v>
      </c>
      <c r="B45" t="str">
        <f t="shared" ref="B45:B64" si="5">SUBSTITUTE(A45,CHAR(160),"")</f>
        <v>WH10017QM01</v>
      </c>
      <c r="C45">
        <f t="shared" ref="C45:C64" si="6">LEN(B45)</f>
        <v>11</v>
      </c>
      <c r="D45">
        <f t="shared" ref="D45:D64" si="7">LEN(A45)</f>
        <v>12</v>
      </c>
      <c r="E45" t="str">
        <f t="shared" si="4"/>
        <v>MH10017QM01</v>
      </c>
    </row>
    <row r="46" spans="1:8">
      <c r="A46" t="s">
        <v>272</v>
      </c>
      <c r="B46" t="str">
        <f t="shared" si="5"/>
        <v>WH10017SL01</v>
      </c>
      <c r="C46">
        <f t="shared" si="6"/>
        <v>11</v>
      </c>
      <c r="D46">
        <f t="shared" si="7"/>
        <v>12</v>
      </c>
      <c r="E46" t="str">
        <f t="shared" si="4"/>
        <v>MH10017SL01</v>
      </c>
    </row>
    <row r="47" spans="1:8">
      <c r="A47" t="s">
        <v>273</v>
      </c>
      <c r="B47" t="str">
        <f t="shared" si="5"/>
        <v>WH1043NM01</v>
      </c>
      <c r="C47">
        <f t="shared" si="6"/>
        <v>10</v>
      </c>
      <c r="D47">
        <f t="shared" si="7"/>
        <v>11</v>
      </c>
      <c r="E47" t="str">
        <f t="shared" si="4"/>
        <v>MH1043NM01</v>
      </c>
    </row>
    <row r="48" spans="1:8">
      <c r="A48" t="s">
        <v>274</v>
      </c>
      <c r="B48" t="str">
        <f t="shared" si="5"/>
        <v>WH1043YL05</v>
      </c>
      <c r="C48">
        <f t="shared" si="6"/>
        <v>10</v>
      </c>
      <c r="D48">
        <f t="shared" si="7"/>
        <v>11</v>
      </c>
      <c r="E48" t="str">
        <f t="shared" si="4"/>
        <v>MH1043YL05</v>
      </c>
    </row>
    <row r="49" spans="1:8">
      <c r="A49" t="s">
        <v>275</v>
      </c>
      <c r="B49" t="str">
        <f t="shared" si="5"/>
        <v>WH1043YM01</v>
      </c>
      <c r="C49">
        <f t="shared" si="6"/>
        <v>10</v>
      </c>
      <c r="D49">
        <f t="shared" si="7"/>
        <v>11</v>
      </c>
      <c r="E49" t="str">
        <f t="shared" si="4"/>
        <v>MH1043YM01</v>
      </c>
      <c r="H49" t="s">
        <v>121</v>
      </c>
    </row>
    <row r="50" spans="1:8">
      <c r="A50" t="s">
        <v>276</v>
      </c>
      <c r="B50" t="str">
        <f t="shared" si="5"/>
        <v>WH1044YM07</v>
      </c>
      <c r="C50">
        <f t="shared" si="6"/>
        <v>10</v>
      </c>
      <c r="D50">
        <f t="shared" si="7"/>
        <v>11</v>
      </c>
      <c r="E50" t="str">
        <f t="shared" si="4"/>
        <v>MH1044YM07</v>
      </c>
    </row>
    <row r="51" spans="1:8">
      <c r="A51" t="s">
        <v>277</v>
      </c>
      <c r="B51" t="str">
        <f t="shared" si="5"/>
        <v>WH15952655WL01</v>
      </c>
      <c r="C51">
        <f t="shared" si="6"/>
        <v>14</v>
      </c>
      <c r="D51">
        <f t="shared" si="7"/>
        <v>15</v>
      </c>
      <c r="E51" t="str">
        <f t="shared" si="4"/>
        <v>MH15952655WL01</v>
      </c>
    </row>
    <row r="52" spans="1:8">
      <c r="A52" t="s">
        <v>278</v>
      </c>
      <c r="B52" t="str">
        <f t="shared" si="5"/>
        <v>WH1595NL01</v>
      </c>
      <c r="C52">
        <f t="shared" si="6"/>
        <v>10</v>
      </c>
      <c r="D52">
        <f t="shared" si="7"/>
        <v>11</v>
      </c>
      <c r="E52" t="str">
        <f t="shared" si="4"/>
        <v>MH1595NL01</v>
      </c>
    </row>
    <row r="53" spans="1:8">
      <c r="A53" t="s">
        <v>279</v>
      </c>
      <c r="B53" t="str">
        <f t="shared" si="5"/>
        <v>WH1595NM01</v>
      </c>
      <c r="C53">
        <f t="shared" si="6"/>
        <v>10</v>
      </c>
      <c r="D53">
        <f t="shared" si="7"/>
        <v>11</v>
      </c>
      <c r="E53" t="str">
        <f t="shared" si="4"/>
        <v>MH1595NM01</v>
      </c>
    </row>
    <row r="54" spans="1:8">
      <c r="A54" t="s">
        <v>280</v>
      </c>
      <c r="B54" t="str">
        <f t="shared" si="5"/>
        <v>WH1595SL03</v>
      </c>
      <c r="C54">
        <f t="shared" si="6"/>
        <v>10</v>
      </c>
      <c r="D54">
        <f t="shared" si="7"/>
        <v>11</v>
      </c>
      <c r="E54" t="str">
        <f t="shared" si="4"/>
        <v>MH1595SL03</v>
      </c>
    </row>
    <row r="55" spans="1:8">
      <c r="A55" t="s">
        <v>281</v>
      </c>
      <c r="B55" t="str">
        <f t="shared" si="5"/>
        <v>WH1595SL05</v>
      </c>
      <c r="C55">
        <f t="shared" si="6"/>
        <v>10</v>
      </c>
      <c r="D55">
        <f t="shared" si="7"/>
        <v>11</v>
      </c>
      <c r="E55" t="str">
        <f t="shared" si="4"/>
        <v>MH1595SL05</v>
      </c>
    </row>
    <row r="56" spans="1:8">
      <c r="A56" t="s">
        <v>282</v>
      </c>
      <c r="B56" t="str">
        <f t="shared" si="5"/>
        <v>WH1595SL06</v>
      </c>
      <c r="C56">
        <f t="shared" si="6"/>
        <v>10</v>
      </c>
      <c r="D56">
        <f t="shared" si="7"/>
        <v>11</v>
      </c>
      <c r="E56" t="str">
        <f t="shared" si="4"/>
        <v>MH1595SL06</v>
      </c>
    </row>
    <row r="57" spans="1:8">
      <c r="A57" t="s">
        <v>283</v>
      </c>
      <c r="B57" t="str">
        <f t="shared" si="5"/>
        <v>WH1595WL01</v>
      </c>
      <c r="C57">
        <f t="shared" si="6"/>
        <v>10</v>
      </c>
      <c r="D57">
        <f t="shared" si="7"/>
        <v>11</v>
      </c>
      <c r="E57" t="str">
        <f t="shared" si="4"/>
        <v>MH1595WL01</v>
      </c>
    </row>
    <row r="58" spans="1:8">
      <c r="A58" t="s">
        <v>284</v>
      </c>
      <c r="B58" t="str">
        <f t="shared" si="5"/>
        <v>WH1595WL09</v>
      </c>
      <c r="C58">
        <f t="shared" si="6"/>
        <v>10</v>
      </c>
      <c r="D58">
        <f t="shared" si="7"/>
        <v>11</v>
      </c>
      <c r="E58" t="str">
        <f t="shared" si="4"/>
        <v>MH1595WL09</v>
      </c>
    </row>
    <row r="59" spans="1:8">
      <c r="A59" t="s">
        <v>285</v>
      </c>
      <c r="B59" t="str">
        <f t="shared" si="5"/>
        <v>WH1595WM01</v>
      </c>
      <c r="C59">
        <f t="shared" si="6"/>
        <v>10</v>
      </c>
      <c r="D59">
        <f t="shared" si="7"/>
        <v>11</v>
      </c>
      <c r="E59" t="str">
        <f t="shared" si="4"/>
        <v>MH1595WM01</v>
      </c>
    </row>
    <row r="60" spans="1:8">
      <c r="A60" t="s">
        <v>286</v>
      </c>
      <c r="B60" t="str">
        <f t="shared" si="5"/>
        <v>WH1596NL01</v>
      </c>
      <c r="C60">
        <f t="shared" si="6"/>
        <v>10</v>
      </c>
      <c r="D60">
        <f t="shared" si="7"/>
        <v>11</v>
      </c>
      <c r="E60" t="str">
        <f t="shared" si="4"/>
        <v>MH1596NL01</v>
      </c>
    </row>
    <row r="61" spans="1:8">
      <c r="A61" t="s">
        <v>287</v>
      </c>
      <c r="B61" t="str">
        <f t="shared" si="5"/>
        <v>WH1843NM01</v>
      </c>
      <c r="C61">
        <f t="shared" si="6"/>
        <v>10</v>
      </c>
      <c r="D61">
        <f t="shared" si="7"/>
        <v>11</v>
      </c>
      <c r="E61" t="str">
        <f t="shared" si="4"/>
        <v>MH1843NM01</v>
      </c>
    </row>
    <row r="62" spans="1:8">
      <c r="A62" t="s">
        <v>288</v>
      </c>
      <c r="B62" t="str">
        <f t="shared" si="5"/>
        <v>WH1843QM02</v>
      </c>
      <c r="C62">
        <f t="shared" si="6"/>
        <v>10</v>
      </c>
      <c r="D62">
        <f t="shared" si="7"/>
        <v>11</v>
      </c>
      <c r="E62" t="str">
        <f t="shared" si="4"/>
        <v>MH1843QM02</v>
      </c>
    </row>
    <row r="63" spans="1:8">
      <c r="A63" t="s">
        <v>289</v>
      </c>
      <c r="B63" t="str">
        <f t="shared" si="5"/>
        <v>WH1843WL01</v>
      </c>
      <c r="C63">
        <f t="shared" si="6"/>
        <v>10</v>
      </c>
      <c r="D63">
        <f t="shared" si="7"/>
        <v>11</v>
      </c>
      <c r="E63" t="str">
        <f t="shared" si="4"/>
        <v>MH1843WL01</v>
      </c>
    </row>
    <row r="64" spans="1:8">
      <c r="A64" t="s">
        <v>290</v>
      </c>
      <c r="B64" t="str">
        <f t="shared" si="5"/>
        <v>WH2654WM01</v>
      </c>
      <c r="C64">
        <f t="shared" si="6"/>
        <v>10</v>
      </c>
      <c r="D64">
        <f t="shared" si="7"/>
        <v>11</v>
      </c>
      <c r="E64" t="str">
        <f t="shared" si="4"/>
        <v>MH2654WM01</v>
      </c>
    </row>
    <row r="67" spans="1:10" ht="23.4">
      <c r="B67" s="21" t="s">
        <v>299</v>
      </c>
    </row>
    <row r="69" spans="1:10" ht="23.4">
      <c r="B69" s="22" t="s">
        <v>296</v>
      </c>
      <c r="C69" s="22" t="s">
        <v>297</v>
      </c>
      <c r="D69" s="22"/>
      <c r="E69" s="22"/>
      <c r="F69" s="22"/>
      <c r="G69" s="22"/>
      <c r="H69" s="22"/>
      <c r="I69" s="22"/>
      <c r="J69" s="22"/>
    </row>
    <row r="70" spans="1:10" ht="23.4">
      <c r="B70" s="22" t="s">
        <v>298</v>
      </c>
      <c r="C70" s="22"/>
      <c r="D70" s="22"/>
      <c r="E70" s="22"/>
      <c r="F70" s="22"/>
      <c r="G70" s="22"/>
      <c r="H70" s="22"/>
      <c r="I70" s="22"/>
      <c r="J70" s="22"/>
    </row>
    <row r="73" spans="1:10" ht="25.8">
      <c r="B73" s="20" t="s">
        <v>300</v>
      </c>
    </row>
    <row r="75" spans="1:10" ht="21">
      <c r="A75" s="14" t="s">
        <v>301</v>
      </c>
      <c r="B75" s="14"/>
      <c r="C75" s="14"/>
      <c r="D75" s="14"/>
      <c r="E75" s="14"/>
      <c r="F75" s="14"/>
      <c r="G75" s="14"/>
      <c r="H75" s="14"/>
      <c r="I75" s="14"/>
      <c r="J75" s="14" t="s">
        <v>302</v>
      </c>
    </row>
    <row r="76" spans="1:10" ht="21">
      <c r="A76" s="14" t="s">
        <v>303</v>
      </c>
      <c r="B76" s="14"/>
      <c r="C76" s="14"/>
      <c r="D76" s="14"/>
      <c r="E76" s="14"/>
      <c r="F76" s="14"/>
      <c r="G76" s="14"/>
      <c r="H76" s="14"/>
      <c r="I76" s="14"/>
      <c r="J76" s="14"/>
    </row>
  </sheetData>
  <phoneticPr fontId="2" type="noConversion"/>
  <conditionalFormatting sqref="A2:L11">
    <cfRule type="expression" dxfId="7" priority="15">
      <formula>$A$2=$L$11</formula>
    </cfRule>
    <cfRule type="expression" priority="16">
      <formula>$A$2=$L$11</formula>
    </cfRule>
  </conditionalFormatting>
  <conditionalFormatting sqref="I2:K11">
    <cfRule type="expression" dxfId="6" priority="3">
      <formula>$I$2=$K$11</formula>
    </cfRule>
    <cfRule type="expression" dxfId="5" priority="4">
      <formula>$J2=$K$11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00EAB-C723-4235-ACA8-7A3B6473ACF9}">
  <sheetPr codeName="Sheet6"/>
  <dimension ref="A1:Z58"/>
  <sheetViews>
    <sheetView topLeftCell="A22" zoomScaleNormal="100" workbookViewId="0">
      <selection activeCell="K45" sqref="K45"/>
    </sheetView>
  </sheetViews>
  <sheetFormatPr defaultRowHeight="14.4"/>
  <cols>
    <col min="1" max="1" width="12" customWidth="1"/>
    <col min="2" max="2" width="12.33203125" customWidth="1"/>
    <col min="3" max="3" width="11.21875" customWidth="1"/>
    <col min="4" max="5" width="13.77734375" customWidth="1"/>
    <col min="6" max="6" width="11.6640625" customWidth="1"/>
    <col min="7" max="7" width="10.21875" customWidth="1"/>
    <col min="8" max="8" width="78.88671875" customWidth="1"/>
    <col min="9" max="13" width="8.88671875" customWidth="1"/>
    <col min="18" max="18" width="8.88671875" customWidth="1"/>
    <col min="19" max="19" width="11.6640625" customWidth="1"/>
    <col min="20" max="20" width="11.21875" customWidth="1"/>
    <col min="21" max="21" width="14" customWidth="1"/>
    <col min="22" max="22" width="17.109375" customWidth="1"/>
    <col min="23" max="23" width="13.6640625" customWidth="1"/>
    <col min="24" max="24" width="13.33203125" customWidth="1"/>
    <col min="25" max="25" width="12.33203125" customWidth="1"/>
    <col min="26" max="26" width="73" customWidth="1"/>
  </cols>
  <sheetData>
    <row r="1" spans="1:26">
      <c r="A1" t="s">
        <v>174</v>
      </c>
      <c r="B1" t="s">
        <v>175</v>
      </c>
      <c r="C1" t="s">
        <v>347</v>
      </c>
      <c r="D1" t="s">
        <v>348</v>
      </c>
      <c r="E1" t="s">
        <v>349</v>
      </c>
      <c r="F1" t="s">
        <v>125</v>
      </c>
      <c r="G1" t="s">
        <v>176</v>
      </c>
      <c r="H1" t="s">
        <v>177</v>
      </c>
      <c r="S1" t="s">
        <v>174</v>
      </c>
      <c r="T1" t="s">
        <v>175</v>
      </c>
      <c r="U1" t="s">
        <v>347</v>
      </c>
      <c r="V1" t="s">
        <v>348</v>
      </c>
      <c r="W1" t="s">
        <v>349</v>
      </c>
      <c r="X1" t="s">
        <v>125</v>
      </c>
      <c r="Y1" t="s">
        <v>176</v>
      </c>
      <c r="Z1" t="s">
        <v>177</v>
      </c>
    </row>
    <row r="2" spans="1:26">
      <c r="A2" t="s">
        <v>178</v>
      </c>
      <c r="B2" t="s">
        <v>305</v>
      </c>
      <c r="C2" t="e">
        <f>PROPER(#REF!)</f>
        <v>#REF!</v>
      </c>
      <c r="D2" t="e">
        <f>UPPER(C2)</f>
        <v>#REF!</v>
      </c>
      <c r="E2" t="e">
        <f>LOWER(C2)</f>
        <v>#REF!</v>
      </c>
      <c r="F2">
        <v>363.54</v>
      </c>
      <c r="G2">
        <v>-3</v>
      </c>
      <c r="H2" t="s">
        <v>306</v>
      </c>
      <c r="S2" t="s">
        <v>178</v>
      </c>
      <c r="T2" t="s">
        <v>305</v>
      </c>
      <c r="U2" t="e">
        <f>PROPER(#REF!)</f>
        <v>#REF!</v>
      </c>
      <c r="V2" t="e">
        <f>UPPER(#REF!)</f>
        <v>#REF!</v>
      </c>
      <c r="W2" t="e">
        <f>LOWER(#REF!)</f>
        <v>#REF!</v>
      </c>
      <c r="X2">
        <v>363.54</v>
      </c>
      <c r="Y2">
        <v>-3</v>
      </c>
      <c r="Z2" t="s">
        <v>306</v>
      </c>
    </row>
    <row r="3" spans="1:26">
      <c r="A3" t="s">
        <v>182</v>
      </c>
      <c r="B3" t="s">
        <v>307</v>
      </c>
      <c r="C3" t="s">
        <v>180</v>
      </c>
      <c r="D3" t="str">
        <f t="shared" ref="D3:D22" si="0">UPPER(C3)</f>
        <v>ELECTRONICS</v>
      </c>
      <c r="E3" t="str">
        <f t="shared" ref="E3:E22" si="1">LOWER(C3)</f>
        <v>electronics</v>
      </c>
      <c r="F3">
        <v>906.15</v>
      </c>
      <c r="G3">
        <v>40</v>
      </c>
      <c r="H3" t="s">
        <v>308</v>
      </c>
      <c r="S3" t="s">
        <v>182</v>
      </c>
      <c r="T3" t="s">
        <v>307</v>
      </c>
      <c r="U3" t="e">
        <f>PROPER(#REF!)</f>
        <v>#REF!</v>
      </c>
      <c r="V3" t="e">
        <f>UPPER(#REF!)</f>
        <v>#REF!</v>
      </c>
      <c r="W3" t="e">
        <f>LOWER(#REF!)</f>
        <v>#REF!</v>
      </c>
      <c r="X3">
        <v>906.15</v>
      </c>
      <c r="Y3">
        <v>40</v>
      </c>
      <c r="Z3" t="s">
        <v>308</v>
      </c>
    </row>
    <row r="4" spans="1:26">
      <c r="A4" t="s">
        <v>186</v>
      </c>
      <c r="B4" t="s">
        <v>309</v>
      </c>
      <c r="C4" t="s">
        <v>354</v>
      </c>
      <c r="D4" t="str">
        <f t="shared" si="0"/>
        <v>FOOD</v>
      </c>
      <c r="E4" t="str">
        <f t="shared" si="1"/>
        <v>food</v>
      </c>
      <c r="F4">
        <v>234.14</v>
      </c>
      <c r="G4">
        <v>26</v>
      </c>
      <c r="H4" t="s">
        <v>310</v>
      </c>
      <c r="S4" t="s">
        <v>186</v>
      </c>
      <c r="T4" t="s">
        <v>309</v>
      </c>
      <c r="U4" t="e">
        <f>PROPER(#REF!)</f>
        <v>#REF!</v>
      </c>
      <c r="V4" t="e">
        <f>UPPER(#REF!)</f>
        <v>#REF!</v>
      </c>
      <c r="W4" t="e">
        <f>LOWER(#REF!)</f>
        <v>#REF!</v>
      </c>
      <c r="X4">
        <v>234.14</v>
      </c>
      <c r="Y4">
        <v>26</v>
      </c>
      <c r="Z4" t="s">
        <v>310</v>
      </c>
    </row>
    <row r="5" spans="1:26">
      <c r="A5" t="s">
        <v>190</v>
      </c>
      <c r="B5" t="s">
        <v>311</v>
      </c>
      <c r="C5" t="s">
        <v>196</v>
      </c>
      <c r="D5" t="str">
        <f t="shared" si="0"/>
        <v>CLOTHING</v>
      </c>
      <c r="E5" t="str">
        <f t="shared" si="1"/>
        <v>clothing</v>
      </c>
      <c r="F5">
        <v>352.9</v>
      </c>
      <c r="G5">
        <v>69</v>
      </c>
      <c r="H5" t="s">
        <v>312</v>
      </c>
      <c r="S5" t="s">
        <v>190</v>
      </c>
      <c r="T5" t="s">
        <v>311</v>
      </c>
      <c r="U5" t="e">
        <f>PROPER(#REF!)</f>
        <v>#REF!</v>
      </c>
      <c r="V5" t="e">
        <f>UPPER(#REF!)</f>
        <v>#REF!</v>
      </c>
      <c r="W5" t="e">
        <f>LOWER(#REF!)</f>
        <v>#REF!</v>
      </c>
      <c r="X5">
        <v>352.9</v>
      </c>
      <c r="Y5">
        <v>69</v>
      </c>
      <c r="Z5" t="s">
        <v>312</v>
      </c>
    </row>
    <row r="6" spans="1:26">
      <c r="A6" t="s">
        <v>194</v>
      </c>
      <c r="B6" t="s">
        <v>313</v>
      </c>
      <c r="C6" t="s">
        <v>192</v>
      </c>
      <c r="D6" t="str">
        <f t="shared" si="0"/>
        <v>FURNITURE</v>
      </c>
      <c r="E6" t="str">
        <f t="shared" si="1"/>
        <v>furniture</v>
      </c>
      <c r="F6">
        <v>503.8</v>
      </c>
      <c r="G6">
        <v>11</v>
      </c>
      <c r="H6" t="s">
        <v>314</v>
      </c>
      <c r="Q6" t="s">
        <v>304</v>
      </c>
      <c r="S6" t="s">
        <v>194</v>
      </c>
      <c r="T6" t="s">
        <v>313</v>
      </c>
      <c r="U6" t="e">
        <f>PROPER(#REF!)</f>
        <v>#REF!</v>
      </c>
      <c r="V6" t="e">
        <f>UPPER(#REF!)</f>
        <v>#REF!</v>
      </c>
      <c r="W6" t="e">
        <f>LOWER(#REF!)</f>
        <v>#REF!</v>
      </c>
      <c r="X6">
        <v>503.8</v>
      </c>
      <c r="Y6">
        <v>11</v>
      </c>
      <c r="Z6" t="s">
        <v>314</v>
      </c>
    </row>
    <row r="7" spans="1:26">
      <c r="A7" t="s">
        <v>198</v>
      </c>
      <c r="B7" t="s">
        <v>315</v>
      </c>
      <c r="C7" t="s">
        <v>180</v>
      </c>
      <c r="D7" t="str">
        <f t="shared" si="0"/>
        <v>ELECTRONICS</v>
      </c>
      <c r="E7" t="str">
        <f t="shared" si="1"/>
        <v>electronics</v>
      </c>
      <c r="F7">
        <v>549.17999999999995</v>
      </c>
      <c r="G7">
        <v>31</v>
      </c>
      <c r="H7" t="s">
        <v>316</v>
      </c>
      <c r="S7" t="s">
        <v>198</v>
      </c>
      <c r="T7" t="s">
        <v>315</v>
      </c>
      <c r="U7" t="e">
        <f>PROPER(#REF!)</f>
        <v>#REF!</v>
      </c>
      <c r="V7" t="e">
        <f>UPPER(#REF!)</f>
        <v>#REF!</v>
      </c>
      <c r="W7" t="e">
        <f>LOWER(#REF!)</f>
        <v>#REF!</v>
      </c>
      <c r="X7">
        <v>549.17999999999995</v>
      </c>
      <c r="Y7">
        <v>31</v>
      </c>
      <c r="Z7" t="s">
        <v>316</v>
      </c>
    </row>
    <row r="8" spans="1:26">
      <c r="A8" t="s">
        <v>201</v>
      </c>
      <c r="B8" t="s">
        <v>317</v>
      </c>
      <c r="C8" t="s">
        <v>354</v>
      </c>
      <c r="D8" t="str">
        <f t="shared" si="0"/>
        <v>FOOD</v>
      </c>
      <c r="E8" t="str">
        <f t="shared" si="1"/>
        <v>food</v>
      </c>
      <c r="F8">
        <v>222.56</v>
      </c>
      <c r="G8">
        <v>59</v>
      </c>
      <c r="H8" t="s">
        <v>318</v>
      </c>
      <c r="S8" t="s">
        <v>201</v>
      </c>
      <c r="T8" t="s">
        <v>317</v>
      </c>
      <c r="U8" t="e">
        <f>PROPER(#REF!)</f>
        <v>#REF!</v>
      </c>
      <c r="V8" t="e">
        <f>UPPER(#REF!)</f>
        <v>#REF!</v>
      </c>
      <c r="W8" t="e">
        <f>LOWER(#REF!)</f>
        <v>#REF!</v>
      </c>
      <c r="X8">
        <v>222.56</v>
      </c>
      <c r="Y8">
        <v>59</v>
      </c>
      <c r="Z8" t="s">
        <v>318</v>
      </c>
    </row>
    <row r="9" spans="1:26">
      <c r="A9" t="s">
        <v>204</v>
      </c>
      <c r="B9" t="s">
        <v>319</v>
      </c>
      <c r="C9" t="s">
        <v>180</v>
      </c>
      <c r="D9" t="str">
        <f t="shared" si="0"/>
        <v>ELECTRONICS</v>
      </c>
      <c r="E9" t="str">
        <f t="shared" si="1"/>
        <v>electronics</v>
      </c>
      <c r="F9">
        <v>969.74</v>
      </c>
      <c r="G9">
        <v>82</v>
      </c>
      <c r="H9" t="s">
        <v>320</v>
      </c>
      <c r="S9" t="s">
        <v>204</v>
      </c>
      <c r="T9" t="s">
        <v>319</v>
      </c>
      <c r="U9" t="e">
        <f>PROPER(#REF!)</f>
        <v>#REF!</v>
      </c>
      <c r="V9" t="e">
        <f>UPPER(#REF!)</f>
        <v>#REF!</v>
      </c>
      <c r="W9" t="e">
        <f>LOWER(#REF!)</f>
        <v>#REF!</v>
      </c>
      <c r="X9">
        <v>969.74</v>
      </c>
      <c r="Y9">
        <v>82</v>
      </c>
      <c r="Z9" t="s">
        <v>320</v>
      </c>
    </row>
    <row r="10" spans="1:26">
      <c r="A10" t="s">
        <v>207</v>
      </c>
      <c r="B10" t="s">
        <v>321</v>
      </c>
      <c r="C10" t="s">
        <v>188</v>
      </c>
      <c r="D10" t="str">
        <f t="shared" si="0"/>
        <v>STATIONERY</v>
      </c>
      <c r="E10" t="str">
        <f t="shared" si="1"/>
        <v>stationery</v>
      </c>
      <c r="F10">
        <v>321.88</v>
      </c>
      <c r="G10">
        <v>92</v>
      </c>
      <c r="H10" t="s">
        <v>322</v>
      </c>
      <c r="S10" t="s">
        <v>207</v>
      </c>
      <c r="T10" t="s">
        <v>321</v>
      </c>
      <c r="U10" t="e">
        <f>PROPER(#REF!)</f>
        <v>#REF!</v>
      </c>
      <c r="V10" t="e">
        <f>UPPER(#REF!)</f>
        <v>#REF!</v>
      </c>
      <c r="W10" t="e">
        <f>LOWER(#REF!)</f>
        <v>#REF!</v>
      </c>
      <c r="X10">
        <v>321.88</v>
      </c>
      <c r="Y10">
        <v>92</v>
      </c>
      <c r="Z10" t="s">
        <v>322</v>
      </c>
    </row>
    <row r="11" spans="1:26">
      <c r="A11" t="s">
        <v>210</v>
      </c>
      <c r="B11" t="s">
        <v>323</v>
      </c>
      <c r="C11" t="s">
        <v>354</v>
      </c>
      <c r="D11" t="str">
        <f t="shared" si="0"/>
        <v>FOOD</v>
      </c>
      <c r="E11" t="str">
        <f t="shared" si="1"/>
        <v>food</v>
      </c>
      <c r="F11">
        <v>230.85</v>
      </c>
      <c r="G11">
        <v>5</v>
      </c>
      <c r="H11" t="s">
        <v>324</v>
      </c>
      <c r="S11" t="s">
        <v>210</v>
      </c>
      <c r="T11" t="s">
        <v>323</v>
      </c>
      <c r="U11" t="e">
        <f>PROPER(#REF!)</f>
        <v>#REF!</v>
      </c>
      <c r="V11" t="e">
        <f>UPPER(#REF!)</f>
        <v>#REF!</v>
      </c>
      <c r="W11" t="e">
        <f>LOWER(#REF!)</f>
        <v>#REF!</v>
      </c>
      <c r="X11">
        <v>230.85</v>
      </c>
      <c r="Y11">
        <v>5</v>
      </c>
      <c r="Z11" t="s">
        <v>324</v>
      </c>
    </row>
    <row r="12" spans="1:26">
      <c r="A12" t="s">
        <v>325</v>
      </c>
      <c r="B12" t="s">
        <v>326</v>
      </c>
      <c r="C12" t="s">
        <v>354</v>
      </c>
      <c r="D12" t="str">
        <f t="shared" si="0"/>
        <v>FOOD</v>
      </c>
      <c r="E12" t="str">
        <f t="shared" si="1"/>
        <v>food</v>
      </c>
      <c r="F12">
        <v>763.66</v>
      </c>
      <c r="G12">
        <v>22</v>
      </c>
      <c r="H12" t="s">
        <v>306</v>
      </c>
      <c r="S12" t="s">
        <v>325</v>
      </c>
      <c r="T12" t="s">
        <v>326</v>
      </c>
      <c r="U12" t="e">
        <f>PROPER(#REF!)</f>
        <v>#REF!</v>
      </c>
      <c r="V12" t="e">
        <f>UPPER(#REF!)</f>
        <v>#REF!</v>
      </c>
      <c r="W12" t="e">
        <f>LOWER(#REF!)</f>
        <v>#REF!</v>
      </c>
      <c r="X12">
        <v>763.66</v>
      </c>
      <c r="Y12">
        <v>22</v>
      </c>
      <c r="Z12" t="s">
        <v>306</v>
      </c>
    </row>
    <row r="13" spans="1:26">
      <c r="A13" t="s">
        <v>327</v>
      </c>
      <c r="B13" t="s">
        <v>328</v>
      </c>
      <c r="C13" t="s">
        <v>180</v>
      </c>
      <c r="D13" t="str">
        <f t="shared" si="0"/>
        <v>ELECTRONICS</v>
      </c>
      <c r="E13" t="str">
        <f t="shared" si="1"/>
        <v>electronics</v>
      </c>
      <c r="F13">
        <v>687.45</v>
      </c>
      <c r="G13">
        <v>25</v>
      </c>
      <c r="H13" t="s">
        <v>308</v>
      </c>
      <c r="S13" t="s">
        <v>327</v>
      </c>
      <c r="T13" t="s">
        <v>328</v>
      </c>
      <c r="U13" t="e">
        <f>PROPER(#REF!)</f>
        <v>#REF!</v>
      </c>
      <c r="V13" t="e">
        <f>UPPER(#REF!)</f>
        <v>#REF!</v>
      </c>
      <c r="W13" t="e">
        <f>LOWER(#REF!)</f>
        <v>#REF!</v>
      </c>
      <c r="X13">
        <v>687.45</v>
      </c>
      <c r="Y13">
        <v>25</v>
      </c>
      <c r="Z13" t="s">
        <v>308</v>
      </c>
    </row>
    <row r="14" spans="1:26">
      <c r="A14" t="s">
        <v>329</v>
      </c>
      <c r="B14" t="s">
        <v>330</v>
      </c>
      <c r="C14" t="s">
        <v>188</v>
      </c>
      <c r="D14" t="str">
        <f t="shared" si="0"/>
        <v>STATIONERY</v>
      </c>
      <c r="E14" t="str">
        <f t="shared" si="1"/>
        <v>stationery</v>
      </c>
      <c r="F14">
        <v>669.92</v>
      </c>
      <c r="G14">
        <v>87</v>
      </c>
      <c r="H14" t="s">
        <v>310</v>
      </c>
      <c r="S14" t="s">
        <v>329</v>
      </c>
      <c r="T14" t="s">
        <v>330</v>
      </c>
      <c r="U14" t="e">
        <f>PROPER(#REF!)</f>
        <v>#REF!</v>
      </c>
      <c r="V14" t="e">
        <f>UPPER(#REF!)</f>
        <v>#REF!</v>
      </c>
      <c r="W14" t="e">
        <f>LOWER(#REF!)</f>
        <v>#REF!</v>
      </c>
      <c r="X14">
        <v>669.92</v>
      </c>
      <c r="Y14">
        <v>87</v>
      </c>
      <c r="Z14" t="s">
        <v>310</v>
      </c>
    </row>
    <row r="15" spans="1:26">
      <c r="A15" t="s">
        <v>331</v>
      </c>
      <c r="B15" t="s">
        <v>332</v>
      </c>
      <c r="C15" t="s">
        <v>354</v>
      </c>
      <c r="D15" t="str">
        <f t="shared" si="0"/>
        <v>FOOD</v>
      </c>
      <c r="E15" t="str">
        <f t="shared" si="1"/>
        <v>food</v>
      </c>
      <c r="F15">
        <v>660.7</v>
      </c>
      <c r="G15">
        <v>-1</v>
      </c>
      <c r="H15" t="s">
        <v>312</v>
      </c>
      <c r="S15" t="s">
        <v>331</v>
      </c>
      <c r="T15" t="s">
        <v>332</v>
      </c>
      <c r="U15" t="e">
        <f>PROPER(#REF!)</f>
        <v>#REF!</v>
      </c>
      <c r="V15" t="e">
        <f>UPPER(#REF!)</f>
        <v>#REF!</v>
      </c>
      <c r="W15" t="e">
        <f>LOWER(#REF!)</f>
        <v>#REF!</v>
      </c>
      <c r="X15">
        <v>660.7</v>
      </c>
      <c r="Y15">
        <v>-1</v>
      </c>
      <c r="Z15" t="s">
        <v>312</v>
      </c>
    </row>
    <row r="16" spans="1:26">
      <c r="A16" t="s">
        <v>333</v>
      </c>
      <c r="B16" t="s">
        <v>334</v>
      </c>
      <c r="C16" t="s">
        <v>188</v>
      </c>
      <c r="D16" t="str">
        <f t="shared" si="0"/>
        <v>STATIONERY</v>
      </c>
      <c r="E16" t="str">
        <f t="shared" si="1"/>
        <v>stationery</v>
      </c>
      <c r="F16">
        <v>923.85</v>
      </c>
      <c r="G16">
        <v>78</v>
      </c>
      <c r="H16" t="s">
        <v>314</v>
      </c>
      <c r="S16" t="s">
        <v>333</v>
      </c>
      <c r="T16" t="s">
        <v>334</v>
      </c>
      <c r="U16" t="e">
        <f>PROPER(#REF!)</f>
        <v>#REF!</v>
      </c>
      <c r="V16" t="e">
        <f>UPPER(#REF!)</f>
        <v>#REF!</v>
      </c>
      <c r="W16" t="e">
        <f>LOWER(#REF!)</f>
        <v>#REF!</v>
      </c>
      <c r="X16">
        <v>923.85</v>
      </c>
      <c r="Y16">
        <v>78</v>
      </c>
      <c r="Z16" t="s">
        <v>314</v>
      </c>
    </row>
    <row r="17" spans="1:26">
      <c r="A17" t="s">
        <v>335</v>
      </c>
      <c r="B17" t="s">
        <v>336</v>
      </c>
      <c r="C17" t="s">
        <v>192</v>
      </c>
      <c r="D17" t="str">
        <f t="shared" si="0"/>
        <v>FURNITURE</v>
      </c>
      <c r="E17" t="str">
        <f t="shared" si="1"/>
        <v>furniture</v>
      </c>
      <c r="F17">
        <v>840.84</v>
      </c>
      <c r="G17">
        <v>39</v>
      </c>
      <c r="H17" t="s">
        <v>316</v>
      </c>
      <c r="S17" t="s">
        <v>335</v>
      </c>
      <c r="T17" t="s">
        <v>336</v>
      </c>
      <c r="U17" t="e">
        <f>PROPER(#REF!)</f>
        <v>#REF!</v>
      </c>
      <c r="V17" t="e">
        <f>UPPER(#REF!)</f>
        <v>#REF!</v>
      </c>
      <c r="W17" t="e">
        <f>LOWER(#REF!)</f>
        <v>#REF!</v>
      </c>
      <c r="X17">
        <v>840.84</v>
      </c>
      <c r="Y17">
        <v>39</v>
      </c>
      <c r="Z17" t="s">
        <v>316</v>
      </c>
    </row>
    <row r="18" spans="1:26">
      <c r="A18" t="s">
        <v>337</v>
      </c>
      <c r="B18" t="s">
        <v>338</v>
      </c>
      <c r="C18" t="s">
        <v>188</v>
      </c>
      <c r="D18" t="str">
        <f t="shared" si="0"/>
        <v>STATIONERY</v>
      </c>
      <c r="E18" t="str">
        <f t="shared" si="1"/>
        <v>stationery</v>
      </c>
      <c r="F18">
        <v>649.23</v>
      </c>
      <c r="G18">
        <v>56</v>
      </c>
      <c r="H18" t="s">
        <v>318</v>
      </c>
      <c r="S18" t="s">
        <v>337</v>
      </c>
      <c r="T18" t="s">
        <v>338</v>
      </c>
      <c r="U18" t="e">
        <f>PROPER(#REF!)</f>
        <v>#REF!</v>
      </c>
      <c r="V18" t="e">
        <f>UPPER(#REF!)</f>
        <v>#REF!</v>
      </c>
      <c r="W18" t="e">
        <f>LOWER(#REF!)</f>
        <v>#REF!</v>
      </c>
      <c r="X18">
        <v>649.23</v>
      </c>
      <c r="Y18">
        <v>56</v>
      </c>
      <c r="Z18" t="s">
        <v>318</v>
      </c>
    </row>
    <row r="19" spans="1:26">
      <c r="A19" t="s">
        <v>339</v>
      </c>
      <c r="B19" t="s">
        <v>340</v>
      </c>
      <c r="C19" t="s">
        <v>180</v>
      </c>
      <c r="D19" t="str">
        <f t="shared" si="0"/>
        <v>ELECTRONICS</v>
      </c>
      <c r="E19" t="str">
        <f t="shared" si="1"/>
        <v>electronics</v>
      </c>
      <c r="F19">
        <v>588.75</v>
      </c>
      <c r="G19">
        <v>51</v>
      </c>
      <c r="H19" t="s">
        <v>320</v>
      </c>
      <c r="S19" t="s">
        <v>339</v>
      </c>
      <c r="T19" t="s">
        <v>340</v>
      </c>
      <c r="U19" t="e">
        <f>PROPER(#REF!)</f>
        <v>#REF!</v>
      </c>
      <c r="V19" t="e">
        <f>UPPER(#REF!)</f>
        <v>#REF!</v>
      </c>
      <c r="W19" t="e">
        <f>LOWER(#REF!)</f>
        <v>#REF!</v>
      </c>
      <c r="X19">
        <v>588.75</v>
      </c>
      <c r="Y19">
        <v>51</v>
      </c>
      <c r="Z19" t="s">
        <v>320</v>
      </c>
    </row>
    <row r="20" spans="1:26">
      <c r="A20" t="s">
        <v>341</v>
      </c>
      <c r="B20" t="s">
        <v>342</v>
      </c>
      <c r="C20" t="s">
        <v>180</v>
      </c>
      <c r="D20" t="str">
        <f t="shared" si="0"/>
        <v>ELECTRONICS</v>
      </c>
      <c r="E20" t="str">
        <f t="shared" si="1"/>
        <v>electronics</v>
      </c>
      <c r="F20">
        <v>227.05</v>
      </c>
      <c r="G20">
        <v>2</v>
      </c>
      <c r="H20" t="s">
        <v>322</v>
      </c>
      <c r="S20" t="s">
        <v>341</v>
      </c>
      <c r="T20" t="s">
        <v>342</v>
      </c>
      <c r="U20" t="e">
        <f>PROPER(#REF!)</f>
        <v>#REF!</v>
      </c>
      <c r="V20" t="e">
        <f>UPPER(#REF!)</f>
        <v>#REF!</v>
      </c>
      <c r="W20" t="e">
        <f>LOWER(#REF!)</f>
        <v>#REF!</v>
      </c>
      <c r="X20">
        <v>227.05</v>
      </c>
      <c r="Y20">
        <v>2</v>
      </c>
      <c r="Z20" t="s">
        <v>322</v>
      </c>
    </row>
    <row r="21" spans="1:26">
      <c r="A21" t="s">
        <v>343</v>
      </c>
      <c r="B21" t="s">
        <v>344</v>
      </c>
      <c r="C21" t="s">
        <v>188</v>
      </c>
      <c r="D21" t="str">
        <f t="shared" si="0"/>
        <v>STATIONERY</v>
      </c>
      <c r="E21" t="str">
        <f t="shared" si="1"/>
        <v>stationery</v>
      </c>
      <c r="F21">
        <v>928.67</v>
      </c>
      <c r="G21">
        <v>97</v>
      </c>
      <c r="H21" t="s">
        <v>324</v>
      </c>
      <c r="S21" t="s">
        <v>343</v>
      </c>
      <c r="T21" t="s">
        <v>344</v>
      </c>
      <c r="U21" t="e">
        <f>PROPER(#REF!)</f>
        <v>#REF!</v>
      </c>
      <c r="V21" t="e">
        <f>UPPER(#REF!)</f>
        <v>#REF!</v>
      </c>
      <c r="W21" t="e">
        <f>LOWER(#REF!)</f>
        <v>#REF!</v>
      </c>
      <c r="X21">
        <v>928.67</v>
      </c>
      <c r="Y21">
        <v>97</v>
      </c>
      <c r="Z21" t="s">
        <v>324</v>
      </c>
    </row>
    <row r="22" spans="1:26">
      <c r="A22" t="s">
        <v>345</v>
      </c>
      <c r="B22" t="s">
        <v>346</v>
      </c>
      <c r="C22" t="s">
        <v>192</v>
      </c>
      <c r="D22" t="str">
        <f t="shared" si="0"/>
        <v>FURNITURE</v>
      </c>
      <c r="E22" t="str">
        <f t="shared" si="1"/>
        <v>furniture</v>
      </c>
      <c r="F22">
        <v>763.42</v>
      </c>
      <c r="G22">
        <v>85</v>
      </c>
      <c r="H22" t="s">
        <v>306</v>
      </c>
      <c r="S22" t="s">
        <v>345</v>
      </c>
      <c r="T22" t="s">
        <v>346</v>
      </c>
      <c r="U22" t="e">
        <f>PROPER(#REF!)</f>
        <v>#REF!</v>
      </c>
      <c r="V22" t="e">
        <f>UPPER(#REF!)</f>
        <v>#REF!</v>
      </c>
      <c r="W22" t="e">
        <f>LOWER(#REF!)</f>
        <v>#REF!</v>
      </c>
      <c r="X22">
        <v>763.42</v>
      </c>
      <c r="Y22">
        <v>85</v>
      </c>
      <c r="Z22" t="s">
        <v>306</v>
      </c>
    </row>
    <row r="23" spans="1:26" ht="31.2">
      <c r="W23" s="23" t="s">
        <v>357</v>
      </c>
    </row>
    <row r="24" spans="1:26" ht="31.2">
      <c r="E24" s="23" t="s">
        <v>356</v>
      </c>
    </row>
    <row r="25" spans="1:26" ht="25.8">
      <c r="D25" s="20" t="s">
        <v>350</v>
      </c>
    </row>
    <row r="27" spans="1:26" ht="21">
      <c r="A27" s="14" t="s">
        <v>351</v>
      </c>
      <c r="B27" s="14"/>
      <c r="C27" s="14"/>
      <c r="D27" s="14"/>
      <c r="E27" s="14"/>
      <c r="F27" s="14"/>
      <c r="G27" s="14"/>
      <c r="H27" s="14"/>
      <c r="I27" s="14"/>
      <c r="J27" s="14"/>
      <c r="K27" s="14"/>
      <c r="L27" s="14"/>
      <c r="M27" s="14"/>
      <c r="N27" s="14"/>
      <c r="O27" s="14"/>
      <c r="P27" s="14"/>
      <c r="Q27" s="14"/>
      <c r="R27" s="14"/>
      <c r="S27" s="14"/>
      <c r="T27" s="14"/>
    </row>
    <row r="28" spans="1:26" ht="21">
      <c r="A28" s="14" t="s">
        <v>352</v>
      </c>
      <c r="B28" s="14"/>
      <c r="C28" s="14"/>
      <c r="D28" s="14"/>
      <c r="E28" s="14"/>
      <c r="F28" s="14"/>
      <c r="G28" s="14"/>
      <c r="H28" s="14"/>
      <c r="I28" s="14"/>
      <c r="J28" s="14"/>
      <c r="K28" s="14"/>
      <c r="L28" s="14"/>
      <c r="M28" s="14" t="s">
        <v>353</v>
      </c>
      <c r="N28" s="14"/>
      <c r="O28" s="14"/>
      <c r="P28" s="14"/>
      <c r="Q28" s="14"/>
      <c r="R28" s="14"/>
      <c r="S28" s="14"/>
      <c r="T28" s="14"/>
    </row>
    <row r="31" spans="1:26">
      <c r="A31" t="s">
        <v>355</v>
      </c>
      <c r="X31" t="s">
        <v>358</v>
      </c>
    </row>
    <row r="32" spans="1:26">
      <c r="A32" t="s">
        <v>359</v>
      </c>
    </row>
    <row r="33" spans="1:8">
      <c r="A33" t="s">
        <v>360</v>
      </c>
    </row>
    <row r="35" spans="1:8" ht="25.8">
      <c r="E35" s="20" t="s">
        <v>370</v>
      </c>
    </row>
    <row r="37" spans="1:8">
      <c r="A37" t="s">
        <v>174</v>
      </c>
      <c r="B37" t="s">
        <v>175</v>
      </c>
      <c r="C37" t="s">
        <v>347</v>
      </c>
      <c r="D37" t="s">
        <v>348</v>
      </c>
      <c r="E37" t="s">
        <v>349</v>
      </c>
      <c r="F37" t="s">
        <v>125</v>
      </c>
      <c r="G37" t="s">
        <v>176</v>
      </c>
      <c r="H37" t="s">
        <v>177</v>
      </c>
    </row>
    <row r="38" spans="1:8">
      <c r="A38" t="s">
        <v>178</v>
      </c>
      <c r="B38" t="s">
        <v>305</v>
      </c>
      <c r="C38" t="s">
        <v>180</v>
      </c>
      <c r="D38" t="s">
        <v>361</v>
      </c>
      <c r="E38" t="s">
        <v>362</v>
      </c>
      <c r="F38">
        <v>363.54</v>
      </c>
      <c r="G38">
        <v>-3</v>
      </c>
      <c r="H38" t="s">
        <v>306</v>
      </c>
    </row>
    <row r="39" spans="1:8">
      <c r="A39" t="s">
        <v>182</v>
      </c>
      <c r="B39" t="s">
        <v>307</v>
      </c>
      <c r="C39" t="s">
        <v>180</v>
      </c>
      <c r="D39" t="s">
        <v>361</v>
      </c>
      <c r="E39" t="s">
        <v>362</v>
      </c>
      <c r="F39">
        <v>906.15</v>
      </c>
      <c r="G39">
        <v>40</v>
      </c>
      <c r="H39" t="s">
        <v>308</v>
      </c>
    </row>
    <row r="40" spans="1:8">
      <c r="A40" t="s">
        <v>186</v>
      </c>
      <c r="B40" t="s">
        <v>309</v>
      </c>
      <c r="C40" t="s">
        <v>354</v>
      </c>
      <c r="D40" t="s">
        <v>184</v>
      </c>
      <c r="E40" t="s">
        <v>363</v>
      </c>
      <c r="F40">
        <v>234.14</v>
      </c>
      <c r="G40">
        <v>26</v>
      </c>
      <c r="H40" t="s">
        <v>310</v>
      </c>
    </row>
    <row r="41" spans="1:8">
      <c r="A41" t="s">
        <v>190</v>
      </c>
      <c r="B41" t="s">
        <v>311</v>
      </c>
      <c r="C41" t="s">
        <v>196</v>
      </c>
      <c r="D41" t="s">
        <v>364</v>
      </c>
      <c r="E41" t="s">
        <v>365</v>
      </c>
      <c r="F41">
        <v>352.9</v>
      </c>
      <c r="G41">
        <v>69</v>
      </c>
      <c r="H41" t="s">
        <v>312</v>
      </c>
    </row>
    <row r="42" spans="1:8">
      <c r="A42" t="s">
        <v>194</v>
      </c>
      <c r="B42" t="s">
        <v>313</v>
      </c>
      <c r="C42" t="s">
        <v>192</v>
      </c>
      <c r="D42" t="s">
        <v>366</v>
      </c>
      <c r="E42" t="s">
        <v>367</v>
      </c>
      <c r="F42">
        <v>503.8</v>
      </c>
      <c r="G42">
        <v>11</v>
      </c>
      <c r="H42" t="s">
        <v>314</v>
      </c>
    </row>
    <row r="43" spans="1:8">
      <c r="A43" t="s">
        <v>198</v>
      </c>
      <c r="B43" t="s">
        <v>315</v>
      </c>
      <c r="C43" t="s">
        <v>180</v>
      </c>
      <c r="D43" t="s">
        <v>361</v>
      </c>
      <c r="E43" t="s">
        <v>362</v>
      </c>
      <c r="F43">
        <v>549.17999999999995</v>
      </c>
      <c r="G43">
        <v>31</v>
      </c>
      <c r="H43" t="s">
        <v>316</v>
      </c>
    </row>
    <row r="44" spans="1:8">
      <c r="A44" t="s">
        <v>201</v>
      </c>
      <c r="B44" t="s">
        <v>317</v>
      </c>
      <c r="C44" t="s">
        <v>354</v>
      </c>
      <c r="D44" t="s">
        <v>184</v>
      </c>
      <c r="E44" t="s">
        <v>363</v>
      </c>
      <c r="F44">
        <v>222.56</v>
      </c>
      <c r="G44">
        <v>59</v>
      </c>
      <c r="H44" t="s">
        <v>318</v>
      </c>
    </row>
    <row r="45" spans="1:8">
      <c r="A45" t="s">
        <v>204</v>
      </c>
      <c r="B45" t="s">
        <v>319</v>
      </c>
      <c r="C45" t="s">
        <v>180</v>
      </c>
      <c r="D45" t="s">
        <v>361</v>
      </c>
      <c r="E45" t="s">
        <v>362</v>
      </c>
      <c r="F45">
        <v>969.74</v>
      </c>
      <c r="G45">
        <v>82</v>
      </c>
      <c r="H45" t="s">
        <v>320</v>
      </c>
    </row>
    <row r="46" spans="1:8">
      <c r="A46" t="s">
        <v>207</v>
      </c>
      <c r="B46" t="s">
        <v>321</v>
      </c>
      <c r="C46" t="s">
        <v>188</v>
      </c>
      <c r="D46" t="s">
        <v>368</v>
      </c>
      <c r="E46" t="s">
        <v>369</v>
      </c>
      <c r="F46">
        <v>321.88</v>
      </c>
      <c r="G46">
        <v>92</v>
      </c>
      <c r="H46" t="s">
        <v>322</v>
      </c>
    </row>
    <row r="47" spans="1:8">
      <c r="A47" t="s">
        <v>210</v>
      </c>
      <c r="B47" t="s">
        <v>323</v>
      </c>
      <c r="C47" t="s">
        <v>354</v>
      </c>
      <c r="D47" t="s">
        <v>184</v>
      </c>
      <c r="E47" t="s">
        <v>363</v>
      </c>
      <c r="F47">
        <v>230.85</v>
      </c>
      <c r="G47">
        <v>5</v>
      </c>
      <c r="H47" t="s">
        <v>324</v>
      </c>
    </row>
    <row r="48" spans="1:8">
      <c r="A48" t="s">
        <v>325</v>
      </c>
      <c r="B48" t="s">
        <v>326</v>
      </c>
      <c r="C48" t="s">
        <v>354</v>
      </c>
      <c r="D48" t="s">
        <v>184</v>
      </c>
      <c r="E48" t="s">
        <v>363</v>
      </c>
      <c r="F48">
        <v>763.66</v>
      </c>
      <c r="G48">
        <v>22</v>
      </c>
      <c r="H48" t="s">
        <v>306</v>
      </c>
    </row>
    <row r="49" spans="1:8">
      <c r="A49" t="s">
        <v>327</v>
      </c>
      <c r="B49" t="s">
        <v>328</v>
      </c>
      <c r="C49" t="s">
        <v>180</v>
      </c>
      <c r="D49" t="s">
        <v>361</v>
      </c>
      <c r="E49" t="s">
        <v>362</v>
      </c>
      <c r="F49">
        <v>687.45</v>
      </c>
      <c r="G49">
        <v>25</v>
      </c>
      <c r="H49" t="s">
        <v>308</v>
      </c>
    </row>
    <row r="50" spans="1:8">
      <c r="A50" t="s">
        <v>329</v>
      </c>
      <c r="B50" t="s">
        <v>330</v>
      </c>
      <c r="C50" t="s">
        <v>188</v>
      </c>
      <c r="D50" t="s">
        <v>368</v>
      </c>
      <c r="E50" t="s">
        <v>369</v>
      </c>
      <c r="F50">
        <v>669.92</v>
      </c>
      <c r="G50">
        <v>87</v>
      </c>
      <c r="H50" t="s">
        <v>310</v>
      </c>
    </row>
    <row r="51" spans="1:8">
      <c r="A51" t="s">
        <v>331</v>
      </c>
      <c r="B51" t="s">
        <v>332</v>
      </c>
      <c r="C51" t="s">
        <v>354</v>
      </c>
      <c r="D51" t="s">
        <v>184</v>
      </c>
      <c r="E51" t="s">
        <v>363</v>
      </c>
      <c r="F51">
        <v>660.7</v>
      </c>
      <c r="G51">
        <v>-1</v>
      </c>
      <c r="H51" t="s">
        <v>312</v>
      </c>
    </row>
    <row r="52" spans="1:8">
      <c r="A52" t="s">
        <v>333</v>
      </c>
      <c r="B52" t="s">
        <v>334</v>
      </c>
      <c r="C52" t="s">
        <v>188</v>
      </c>
      <c r="D52" t="s">
        <v>368</v>
      </c>
      <c r="E52" t="s">
        <v>369</v>
      </c>
      <c r="F52">
        <v>923.85</v>
      </c>
      <c r="G52">
        <v>78</v>
      </c>
      <c r="H52" t="s">
        <v>314</v>
      </c>
    </row>
    <row r="53" spans="1:8">
      <c r="A53" t="s">
        <v>335</v>
      </c>
      <c r="B53" t="s">
        <v>336</v>
      </c>
      <c r="C53" t="s">
        <v>192</v>
      </c>
      <c r="D53" t="s">
        <v>366</v>
      </c>
      <c r="E53" t="s">
        <v>367</v>
      </c>
      <c r="F53">
        <v>840.84</v>
      </c>
      <c r="G53">
        <v>39</v>
      </c>
      <c r="H53" t="s">
        <v>316</v>
      </c>
    </row>
    <row r="54" spans="1:8">
      <c r="A54" t="s">
        <v>337</v>
      </c>
      <c r="B54" t="s">
        <v>338</v>
      </c>
      <c r="C54" t="s">
        <v>188</v>
      </c>
      <c r="D54" t="s">
        <v>368</v>
      </c>
      <c r="E54" t="s">
        <v>369</v>
      </c>
      <c r="F54">
        <v>649.23</v>
      </c>
      <c r="G54">
        <v>56</v>
      </c>
      <c r="H54" t="s">
        <v>318</v>
      </c>
    </row>
    <row r="55" spans="1:8">
      <c r="A55" t="s">
        <v>339</v>
      </c>
      <c r="B55" t="s">
        <v>340</v>
      </c>
      <c r="C55" t="s">
        <v>180</v>
      </c>
      <c r="D55" t="s">
        <v>361</v>
      </c>
      <c r="E55" t="s">
        <v>362</v>
      </c>
      <c r="F55">
        <v>588.75</v>
      </c>
      <c r="G55">
        <v>51</v>
      </c>
      <c r="H55" t="s">
        <v>320</v>
      </c>
    </row>
    <row r="56" spans="1:8">
      <c r="A56" t="s">
        <v>341</v>
      </c>
      <c r="B56" t="s">
        <v>342</v>
      </c>
      <c r="C56" t="s">
        <v>180</v>
      </c>
      <c r="D56" t="s">
        <v>361</v>
      </c>
      <c r="E56" t="s">
        <v>362</v>
      </c>
      <c r="F56">
        <v>227.05</v>
      </c>
      <c r="G56">
        <v>2</v>
      </c>
      <c r="H56" t="s">
        <v>322</v>
      </c>
    </row>
    <row r="57" spans="1:8">
      <c r="A57" t="s">
        <v>343</v>
      </c>
      <c r="B57" t="s">
        <v>344</v>
      </c>
      <c r="C57" t="s">
        <v>188</v>
      </c>
      <c r="D57" t="s">
        <v>368</v>
      </c>
      <c r="E57" t="s">
        <v>369</v>
      </c>
      <c r="F57">
        <v>928.67</v>
      </c>
      <c r="G57">
        <v>97</v>
      </c>
      <c r="H57" t="s">
        <v>324</v>
      </c>
    </row>
    <row r="58" spans="1:8">
      <c r="A58" t="s">
        <v>345</v>
      </c>
      <c r="B58" t="s">
        <v>346</v>
      </c>
      <c r="C58" t="s">
        <v>192</v>
      </c>
      <c r="D58" t="s">
        <v>366</v>
      </c>
      <c r="E58" t="s">
        <v>367</v>
      </c>
      <c r="F58">
        <v>763.42</v>
      </c>
      <c r="G58">
        <v>85</v>
      </c>
      <c r="H58" t="s">
        <v>306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890A1-B464-4536-973D-8775B75F0924}">
  <sheetPr codeName="Sheet7"/>
  <dimension ref="A1:N30"/>
  <sheetViews>
    <sheetView workbookViewId="0">
      <selection activeCell="A10" sqref="A10"/>
    </sheetView>
  </sheetViews>
  <sheetFormatPr defaultRowHeight="14.4"/>
  <cols>
    <col min="1" max="1" width="11.88671875" customWidth="1"/>
    <col min="2" max="2" width="13.21875" customWidth="1"/>
    <col min="3" max="3" width="12.109375" customWidth="1"/>
    <col min="4" max="4" width="11.77734375" customWidth="1"/>
    <col min="5" max="5" width="10.88671875" customWidth="1"/>
    <col min="6" max="6" width="20.77734375" customWidth="1"/>
    <col min="7" max="7" width="73.44140625" customWidth="1"/>
  </cols>
  <sheetData>
    <row r="1" spans="1:7">
      <c r="A1" t="s">
        <v>174</v>
      </c>
      <c r="B1" t="s">
        <v>175</v>
      </c>
      <c r="C1" t="s">
        <v>124</v>
      </c>
      <c r="D1" t="s">
        <v>125</v>
      </c>
      <c r="E1" t="s">
        <v>176</v>
      </c>
      <c r="F1" t="s">
        <v>371</v>
      </c>
      <c r="G1" t="s">
        <v>177</v>
      </c>
    </row>
    <row r="2" spans="1:7">
      <c r="A2" t="s">
        <v>178</v>
      </c>
      <c r="B2" t="s">
        <v>305</v>
      </c>
      <c r="C2" t="s">
        <v>180</v>
      </c>
      <c r="D2">
        <v>363.54</v>
      </c>
      <c r="E2">
        <v>-3</v>
      </c>
      <c r="F2">
        <f>IF(E2&lt;0,0,E2)</f>
        <v>0</v>
      </c>
      <c r="G2" t="s">
        <v>306</v>
      </c>
    </row>
    <row r="3" spans="1:7">
      <c r="A3" t="s">
        <v>182</v>
      </c>
      <c r="B3" t="s">
        <v>307</v>
      </c>
      <c r="C3" t="s">
        <v>180</v>
      </c>
      <c r="D3">
        <v>906.15</v>
      </c>
      <c r="E3">
        <v>40</v>
      </c>
      <c r="F3">
        <f t="shared" ref="F3:F22" si="0">IF(E3&lt;0,0,E3)</f>
        <v>40</v>
      </c>
      <c r="G3" t="s">
        <v>308</v>
      </c>
    </row>
    <row r="4" spans="1:7">
      <c r="A4" t="s">
        <v>186</v>
      </c>
      <c r="B4" t="s">
        <v>309</v>
      </c>
      <c r="C4" t="s">
        <v>354</v>
      </c>
      <c r="D4">
        <v>234.14</v>
      </c>
      <c r="E4">
        <v>26</v>
      </c>
      <c r="F4">
        <f t="shared" si="0"/>
        <v>26</v>
      </c>
      <c r="G4" t="s">
        <v>310</v>
      </c>
    </row>
    <row r="5" spans="1:7">
      <c r="A5" t="s">
        <v>190</v>
      </c>
      <c r="B5" t="s">
        <v>311</v>
      </c>
      <c r="C5" t="s">
        <v>196</v>
      </c>
      <c r="D5">
        <v>903.5</v>
      </c>
      <c r="E5">
        <v>69</v>
      </c>
      <c r="F5">
        <f t="shared" si="0"/>
        <v>69</v>
      </c>
      <c r="G5" t="s">
        <v>312</v>
      </c>
    </row>
    <row r="6" spans="1:7">
      <c r="A6" t="s">
        <v>194</v>
      </c>
      <c r="B6" t="s">
        <v>313</v>
      </c>
      <c r="C6" t="s">
        <v>192</v>
      </c>
      <c r="D6">
        <v>352.9</v>
      </c>
      <c r="E6">
        <v>87</v>
      </c>
      <c r="F6">
        <f t="shared" si="0"/>
        <v>87</v>
      </c>
      <c r="G6" t="s">
        <v>314</v>
      </c>
    </row>
    <row r="7" spans="1:7">
      <c r="A7" t="s">
        <v>198</v>
      </c>
      <c r="B7" t="s">
        <v>315</v>
      </c>
      <c r="C7" t="s">
        <v>180</v>
      </c>
      <c r="D7">
        <v>549.17999999999995</v>
      </c>
      <c r="E7">
        <v>31</v>
      </c>
      <c r="F7">
        <f t="shared" si="0"/>
        <v>31</v>
      </c>
      <c r="G7" t="s">
        <v>316</v>
      </c>
    </row>
    <row r="8" spans="1:7">
      <c r="A8" t="s">
        <v>201</v>
      </c>
      <c r="B8" t="s">
        <v>317</v>
      </c>
      <c r="C8" t="s">
        <v>354</v>
      </c>
      <c r="D8">
        <v>222.56</v>
      </c>
      <c r="E8">
        <v>59</v>
      </c>
      <c r="F8">
        <f t="shared" si="0"/>
        <v>59</v>
      </c>
      <c r="G8" t="s">
        <v>318</v>
      </c>
    </row>
    <row r="9" spans="1:7">
      <c r="A9" t="s">
        <v>204</v>
      </c>
      <c r="B9" t="s">
        <v>319</v>
      </c>
      <c r="C9" t="s">
        <v>180</v>
      </c>
      <c r="D9">
        <v>969.7</v>
      </c>
      <c r="E9">
        <v>78</v>
      </c>
      <c r="F9">
        <f t="shared" si="0"/>
        <v>78</v>
      </c>
      <c r="G9" t="s">
        <v>320</v>
      </c>
    </row>
    <row r="10" spans="1:7">
      <c r="A10" t="s">
        <v>207</v>
      </c>
      <c r="B10" t="s">
        <v>321</v>
      </c>
      <c r="C10" t="s">
        <v>188</v>
      </c>
      <c r="D10">
        <v>321.88</v>
      </c>
      <c r="E10">
        <v>92</v>
      </c>
      <c r="F10">
        <f t="shared" si="0"/>
        <v>92</v>
      </c>
      <c r="G10" t="s">
        <v>322</v>
      </c>
    </row>
    <row r="11" spans="1:7">
      <c r="A11" t="s">
        <v>210</v>
      </c>
      <c r="B11" t="s">
        <v>323</v>
      </c>
      <c r="C11" t="s">
        <v>354</v>
      </c>
      <c r="D11">
        <v>230.28</v>
      </c>
      <c r="E11">
        <v>-5</v>
      </c>
      <c r="F11">
        <f t="shared" si="0"/>
        <v>0</v>
      </c>
      <c r="G11" t="s">
        <v>324</v>
      </c>
    </row>
    <row r="12" spans="1:7">
      <c r="A12" t="s">
        <v>325</v>
      </c>
      <c r="B12" t="s">
        <v>326</v>
      </c>
      <c r="C12" t="s">
        <v>354</v>
      </c>
      <c r="D12">
        <v>763.66</v>
      </c>
      <c r="E12">
        <v>22</v>
      </c>
      <c r="F12">
        <f t="shared" si="0"/>
        <v>22</v>
      </c>
      <c r="G12" t="s">
        <v>306</v>
      </c>
    </row>
    <row r="13" spans="1:7">
      <c r="A13" t="s">
        <v>327</v>
      </c>
      <c r="B13" t="s">
        <v>328</v>
      </c>
      <c r="C13" t="s">
        <v>180</v>
      </c>
      <c r="D13">
        <v>368.76</v>
      </c>
      <c r="E13">
        <v>45</v>
      </c>
      <c r="F13">
        <f t="shared" si="0"/>
        <v>45</v>
      </c>
      <c r="G13" t="s">
        <v>308</v>
      </c>
    </row>
    <row r="14" spans="1:7">
      <c r="A14" t="s">
        <v>329</v>
      </c>
      <c r="B14" t="s">
        <v>330</v>
      </c>
      <c r="C14" t="s">
        <v>188</v>
      </c>
      <c r="D14">
        <v>669.92</v>
      </c>
      <c r="E14">
        <v>87</v>
      </c>
      <c r="F14">
        <f t="shared" si="0"/>
        <v>87</v>
      </c>
      <c r="G14" t="s">
        <v>310</v>
      </c>
    </row>
    <row r="15" spans="1:7">
      <c r="A15" t="s">
        <v>331</v>
      </c>
      <c r="B15" t="s">
        <v>332</v>
      </c>
      <c r="C15" t="s">
        <v>354</v>
      </c>
      <c r="D15">
        <v>914.74</v>
      </c>
      <c r="E15">
        <v>-1</v>
      </c>
      <c r="F15">
        <f t="shared" si="0"/>
        <v>0</v>
      </c>
      <c r="G15" t="s">
        <v>312</v>
      </c>
    </row>
    <row r="16" spans="1:7">
      <c r="A16" t="s">
        <v>333</v>
      </c>
      <c r="B16" t="s">
        <v>334</v>
      </c>
      <c r="C16" t="s">
        <v>188</v>
      </c>
      <c r="D16">
        <v>137.79</v>
      </c>
      <c r="E16">
        <v>78</v>
      </c>
      <c r="F16">
        <f t="shared" si="0"/>
        <v>78</v>
      </c>
      <c r="G16" t="s">
        <v>314</v>
      </c>
    </row>
    <row r="17" spans="1:14">
      <c r="A17" t="s">
        <v>335</v>
      </c>
      <c r="B17" t="s">
        <v>336</v>
      </c>
      <c r="C17" t="s">
        <v>192</v>
      </c>
      <c r="D17">
        <v>840.84</v>
      </c>
      <c r="E17">
        <v>39</v>
      </c>
      <c r="F17">
        <f t="shared" si="0"/>
        <v>39</v>
      </c>
      <c r="G17" t="s">
        <v>316</v>
      </c>
    </row>
    <row r="18" spans="1:14">
      <c r="A18" t="s">
        <v>337</v>
      </c>
      <c r="B18" t="s">
        <v>338</v>
      </c>
      <c r="C18" t="s">
        <v>188</v>
      </c>
      <c r="D18">
        <v>784.71</v>
      </c>
      <c r="E18">
        <v>96</v>
      </c>
      <c r="F18">
        <f t="shared" si="0"/>
        <v>96</v>
      </c>
      <c r="G18" t="s">
        <v>318</v>
      </c>
    </row>
    <row r="19" spans="1:14">
      <c r="A19" t="s">
        <v>339</v>
      </c>
      <c r="B19" t="s">
        <v>340</v>
      </c>
      <c r="C19" t="s">
        <v>180</v>
      </c>
      <c r="D19">
        <v>588.75</v>
      </c>
      <c r="E19">
        <v>51</v>
      </c>
      <c r="F19">
        <f t="shared" si="0"/>
        <v>51</v>
      </c>
      <c r="G19" t="s">
        <v>320</v>
      </c>
    </row>
    <row r="20" spans="1:14">
      <c r="A20" t="s">
        <v>341</v>
      </c>
      <c r="B20" t="s">
        <v>342</v>
      </c>
      <c r="C20" t="s">
        <v>180</v>
      </c>
      <c r="D20">
        <v>227.05</v>
      </c>
      <c r="E20">
        <v>8</v>
      </c>
      <c r="F20">
        <f t="shared" si="0"/>
        <v>8</v>
      </c>
      <c r="G20" t="s">
        <v>322</v>
      </c>
    </row>
    <row r="21" spans="1:14">
      <c r="A21" t="s">
        <v>343</v>
      </c>
      <c r="B21" t="s">
        <v>344</v>
      </c>
      <c r="C21" t="s">
        <v>188</v>
      </c>
      <c r="D21">
        <v>944.43</v>
      </c>
      <c r="E21">
        <v>97</v>
      </c>
      <c r="F21">
        <f t="shared" si="0"/>
        <v>97</v>
      </c>
      <c r="G21" t="s">
        <v>324</v>
      </c>
    </row>
    <row r="22" spans="1:14">
      <c r="A22" t="s">
        <v>345</v>
      </c>
      <c r="B22" t="s">
        <v>346</v>
      </c>
      <c r="C22" t="s">
        <v>192</v>
      </c>
      <c r="D22">
        <v>763.27</v>
      </c>
      <c r="E22">
        <v>85</v>
      </c>
      <c r="F22">
        <f t="shared" si="0"/>
        <v>85</v>
      </c>
      <c r="G22" t="s">
        <v>306</v>
      </c>
    </row>
    <row r="25" spans="1:14" ht="23.4">
      <c r="E25" s="21" t="s">
        <v>372</v>
      </c>
    </row>
    <row r="28" spans="1:14">
      <c r="A28" t="s">
        <v>373</v>
      </c>
      <c r="N28" t="s">
        <v>374</v>
      </c>
    </row>
    <row r="29" spans="1:14">
      <c r="A29" t="s">
        <v>375</v>
      </c>
    </row>
    <row r="30" spans="1:14">
      <c r="A30" t="s">
        <v>376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7BA4B-502C-422E-9DA9-21742896C53C}">
  <sheetPr codeName="Sheet8"/>
  <dimension ref="A1:R28"/>
  <sheetViews>
    <sheetView topLeftCell="A14" zoomScale="130" zoomScaleNormal="130" workbookViewId="0">
      <selection activeCell="G2" sqref="G2"/>
    </sheetView>
  </sheetViews>
  <sheetFormatPr defaultRowHeight="14.4"/>
  <cols>
    <col min="1" max="1" width="16.44140625" customWidth="1"/>
    <col min="2" max="2" width="10.5546875" customWidth="1"/>
    <col min="3" max="3" width="11.21875" customWidth="1"/>
    <col min="6" max="6" width="30.44140625" customWidth="1"/>
    <col min="7" max="7" width="15.6640625" customWidth="1"/>
    <col min="9" max="9" width="11.44140625" customWidth="1"/>
  </cols>
  <sheetData>
    <row r="1" spans="1:18">
      <c r="A1" t="s">
        <v>377</v>
      </c>
      <c r="B1" t="s">
        <v>436</v>
      </c>
      <c r="C1" t="s">
        <v>383</v>
      </c>
      <c r="D1" t="s">
        <v>389</v>
      </c>
      <c r="G1" t="s">
        <v>377</v>
      </c>
      <c r="H1" t="s">
        <v>424</v>
      </c>
      <c r="I1" t="s">
        <v>425</v>
      </c>
      <c r="J1" t="s">
        <v>438</v>
      </c>
    </row>
    <row r="2" spans="1:18">
      <c r="A2" t="s">
        <v>388</v>
      </c>
      <c r="B2" t="s">
        <v>390</v>
      </c>
      <c r="C2" t="s">
        <v>426</v>
      </c>
      <c r="D2">
        <v>400086</v>
      </c>
      <c r="G2" t="s">
        <v>423</v>
      </c>
      <c r="H2" t="str">
        <f>LEFT(G2,FIND("-",G2,1)-1)</f>
        <v xml:space="preserve">Mumbai </v>
      </c>
      <c r="I2" t="str">
        <f>RIGHT(G2,LEN(G2)-FIND("-",G2,1))</f>
        <v xml:space="preserve"> 400088</v>
      </c>
      <c r="J2" t="str">
        <f>LEFT(G2,FIND("-",G2,1))</f>
        <v>Mumbai -</v>
      </c>
    </row>
    <row r="3" spans="1:18">
      <c r="A3" t="s">
        <v>378</v>
      </c>
      <c r="B3" t="s">
        <v>391</v>
      </c>
      <c r="C3" t="s">
        <v>384</v>
      </c>
      <c r="D3">
        <v>413254</v>
      </c>
      <c r="G3" t="s">
        <v>378</v>
      </c>
      <c r="H3" t="str">
        <f>LEFT(G3,FIND("-",G3,1)-1)</f>
        <v xml:space="preserve">Pune </v>
      </c>
      <c r="I3" t="str">
        <f>RIGHT(G3,LEN(G3)-FIND("-",G3,1))</f>
        <v xml:space="preserve"> 413254</v>
      </c>
      <c r="J3" t="str">
        <f>LEFT(G3,FIND("-",G3,1))</f>
        <v>Pune -</v>
      </c>
    </row>
    <row r="4" spans="1:18">
      <c r="A4" t="s">
        <v>379</v>
      </c>
      <c r="B4" t="s">
        <v>391</v>
      </c>
      <c r="C4" t="s">
        <v>385</v>
      </c>
      <c r="D4">
        <v>235646</v>
      </c>
      <c r="G4" t="s">
        <v>379</v>
      </c>
      <c r="H4" t="str">
        <f>LEFT(G4,FIND("-",G4,1)-1)</f>
        <v xml:space="preserve">Surat </v>
      </c>
      <c r="I4" t="str">
        <f>RIGHT(G4,LEN(G4)-FIND("-",G4,1))</f>
        <v xml:space="preserve"> 235646</v>
      </c>
      <c r="J4" t="str">
        <f>LEFT(G4,FIND("-",G4,1))</f>
        <v>Surat -</v>
      </c>
    </row>
    <row r="5" spans="1:18">
      <c r="A5" t="s">
        <v>380</v>
      </c>
      <c r="B5" t="s">
        <v>391</v>
      </c>
      <c r="C5" t="s">
        <v>386</v>
      </c>
      <c r="D5">
        <v>843320</v>
      </c>
      <c r="G5" t="s">
        <v>428</v>
      </c>
      <c r="H5" t="str">
        <f>LEFT(G5,FIND("-",G5,1)-1)</f>
        <v xml:space="preserve">Pupri </v>
      </c>
      <c r="I5" t="str">
        <f>RIGHT(G5,LEN(G5)-FIND("-",G5,1))</f>
        <v xml:space="preserve"> 843325</v>
      </c>
      <c r="J5" t="str">
        <f>LEFT(G5,FIND("-",G5,1))</f>
        <v>Pupri -</v>
      </c>
    </row>
    <row r="6" spans="1:18">
      <c r="A6" t="s">
        <v>381</v>
      </c>
      <c r="B6" t="s">
        <v>391</v>
      </c>
      <c r="C6" t="s">
        <v>387</v>
      </c>
      <c r="D6">
        <v>843301</v>
      </c>
      <c r="G6" t="s">
        <v>381</v>
      </c>
      <c r="H6" t="str">
        <f>LEFT(G6,FIND("-",G6,1)-1)</f>
        <v xml:space="preserve">Sitamarhi </v>
      </c>
      <c r="I6" t="str">
        <f>RIGHT(G6,LEN(G6)-FIND("-",G6,1))</f>
        <v xml:space="preserve"> 843301</v>
      </c>
      <c r="J6" t="str">
        <f>LEFT(G6,FIND("-",G6,1))</f>
        <v>Sitamarhi -</v>
      </c>
    </row>
    <row r="8" spans="1:18" ht="23.4">
      <c r="A8" s="21" t="s">
        <v>392</v>
      </c>
      <c r="H8" s="24" t="s">
        <v>357</v>
      </c>
    </row>
    <row r="9" spans="1:18">
      <c r="A9" t="s">
        <v>393</v>
      </c>
      <c r="H9" s="25" t="s">
        <v>429</v>
      </c>
      <c r="I9" t="s">
        <v>430</v>
      </c>
    </row>
    <row r="10" spans="1:18">
      <c r="A10" t="s">
        <v>394</v>
      </c>
      <c r="H10" t="s">
        <v>431</v>
      </c>
      <c r="J10" t="s">
        <v>432</v>
      </c>
      <c r="M10" t="s">
        <v>433</v>
      </c>
    </row>
    <row r="11" spans="1:18">
      <c r="A11" t="s">
        <v>395</v>
      </c>
      <c r="J11" t="s">
        <v>434</v>
      </c>
    </row>
    <row r="12" spans="1:18">
      <c r="J12" t="s">
        <v>435</v>
      </c>
      <c r="K12" t="s">
        <v>437</v>
      </c>
      <c r="R12" t="s">
        <v>439</v>
      </c>
    </row>
    <row r="13" spans="1:18" ht="21">
      <c r="B13" s="18" t="s">
        <v>413</v>
      </c>
    </row>
    <row r="14" spans="1:18">
      <c r="A14" t="s">
        <v>348</v>
      </c>
      <c r="B14" t="s">
        <v>349</v>
      </c>
      <c r="C14" t="s">
        <v>415</v>
      </c>
      <c r="H14" t="s">
        <v>440</v>
      </c>
    </row>
    <row r="15" spans="1:18">
      <c r="A15" t="s">
        <v>396</v>
      </c>
      <c r="B15" t="s">
        <v>407</v>
      </c>
      <c r="C15" t="s">
        <v>382</v>
      </c>
      <c r="I15" t="s">
        <v>441</v>
      </c>
      <c r="J15" t="s">
        <v>442</v>
      </c>
    </row>
    <row r="16" spans="1:18">
      <c r="A16" t="s">
        <v>397</v>
      </c>
      <c r="B16" t="s">
        <v>408</v>
      </c>
      <c r="C16" t="s">
        <v>402</v>
      </c>
      <c r="I16" t="s">
        <v>443</v>
      </c>
    </row>
    <row r="17" spans="1:6">
      <c r="A17" t="s">
        <v>398</v>
      </c>
      <c r="B17" t="s">
        <v>409</v>
      </c>
      <c r="C17" t="s">
        <v>403</v>
      </c>
    </row>
    <row r="18" spans="1:6">
      <c r="A18" t="s">
        <v>399</v>
      </c>
      <c r="B18" t="s">
        <v>410</v>
      </c>
      <c r="C18" t="s">
        <v>404</v>
      </c>
    </row>
    <row r="19" spans="1:6">
      <c r="A19" t="s">
        <v>400</v>
      </c>
      <c r="B19" t="s">
        <v>411</v>
      </c>
      <c r="C19" t="s">
        <v>405</v>
      </c>
    </row>
    <row r="20" spans="1:6">
      <c r="A20" t="s">
        <v>401</v>
      </c>
      <c r="B20" t="s">
        <v>412</v>
      </c>
      <c r="C20" t="s">
        <v>406</v>
      </c>
    </row>
    <row r="22" spans="1:6">
      <c r="A22" t="s">
        <v>414</v>
      </c>
    </row>
    <row r="23" spans="1:6">
      <c r="A23" t="s">
        <v>416</v>
      </c>
    </row>
    <row r="24" spans="1:6">
      <c r="A24" t="s">
        <v>417</v>
      </c>
      <c r="E24" t="s">
        <v>418</v>
      </c>
    </row>
    <row r="25" spans="1:6">
      <c r="A25" t="s">
        <v>419</v>
      </c>
    </row>
    <row r="26" spans="1:6">
      <c r="A26" t="s">
        <v>420</v>
      </c>
    </row>
    <row r="27" spans="1:6">
      <c r="A27" t="s">
        <v>421</v>
      </c>
    </row>
    <row r="28" spans="1:6">
      <c r="A28" t="s">
        <v>422</v>
      </c>
      <c r="F28" t="s">
        <v>427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C315F-F330-4912-8FB1-0E0444CF68C5}">
  <sheetPr codeName="Sheet9"/>
  <dimension ref="A1:T17"/>
  <sheetViews>
    <sheetView topLeftCell="C1" workbookViewId="0">
      <selection activeCell="C7" sqref="C7"/>
    </sheetView>
  </sheetViews>
  <sheetFormatPr defaultRowHeight="14.4"/>
  <cols>
    <col min="1" max="1" width="11.21875" customWidth="1"/>
    <col min="2" max="2" width="12.5546875" customWidth="1"/>
    <col min="3" max="3" width="12.109375" customWidth="1"/>
    <col min="4" max="4" width="13.77734375" customWidth="1"/>
    <col min="10" max="10" width="11.33203125" customWidth="1"/>
  </cols>
  <sheetData>
    <row r="1" spans="1:20">
      <c r="A1" s="10" t="s">
        <v>0</v>
      </c>
      <c r="B1" s="10" t="s">
        <v>1</v>
      </c>
      <c r="C1" s="10" t="s">
        <v>2</v>
      </c>
      <c r="D1" s="10" t="s">
        <v>155</v>
      </c>
    </row>
    <row r="2" spans="1:20" ht="25.8">
      <c r="A2" t="s">
        <v>5</v>
      </c>
      <c r="B2" t="s">
        <v>6</v>
      </c>
      <c r="C2" t="s">
        <v>7</v>
      </c>
      <c r="D2">
        <v>7091095491</v>
      </c>
      <c r="H2" s="20" t="s">
        <v>444</v>
      </c>
    </row>
    <row r="3" spans="1:20">
      <c r="A3" t="s">
        <v>8</v>
      </c>
      <c r="B3" t="s">
        <v>9</v>
      </c>
      <c r="C3" t="s">
        <v>13</v>
      </c>
      <c r="D3">
        <v>9812345679</v>
      </c>
    </row>
    <row r="4" spans="1:20">
      <c r="A4" t="s">
        <v>11</v>
      </c>
      <c r="B4" t="s">
        <v>12</v>
      </c>
      <c r="C4" t="s">
        <v>10</v>
      </c>
      <c r="D4">
        <v>9812345680</v>
      </c>
      <c r="H4" t="s">
        <v>445</v>
      </c>
    </row>
    <row r="5" spans="1:20">
      <c r="A5" t="s">
        <v>14</v>
      </c>
      <c r="B5" t="s">
        <v>15</v>
      </c>
      <c r="C5" t="s">
        <v>7</v>
      </c>
      <c r="D5">
        <v>9812345681</v>
      </c>
      <c r="H5" t="s">
        <v>446</v>
      </c>
      <c r="S5" t="s">
        <v>448</v>
      </c>
      <c r="T5" t="s">
        <v>449</v>
      </c>
    </row>
    <row r="6" spans="1:20">
      <c r="A6" t="s">
        <v>17</v>
      </c>
      <c r="B6" t="s">
        <v>18</v>
      </c>
      <c r="C6" t="s">
        <v>13</v>
      </c>
      <c r="D6">
        <v>9812345682</v>
      </c>
      <c r="H6" t="s">
        <v>447</v>
      </c>
    </row>
    <row r="7" spans="1:20">
      <c r="A7" t="s">
        <v>20</v>
      </c>
      <c r="B7" t="s">
        <v>12</v>
      </c>
      <c r="C7" t="s">
        <v>13</v>
      </c>
      <c r="D7">
        <v>9812345683</v>
      </c>
      <c r="H7" t="s">
        <v>450</v>
      </c>
    </row>
    <row r="8" spans="1:20">
      <c r="A8" t="s">
        <v>22</v>
      </c>
      <c r="B8" t="s">
        <v>23</v>
      </c>
      <c r="C8" t="s">
        <v>10</v>
      </c>
      <c r="D8">
        <v>9812345684</v>
      </c>
      <c r="H8" t="s">
        <v>451</v>
      </c>
    </row>
    <row r="9" spans="1:20">
      <c r="A9" t="s">
        <v>26</v>
      </c>
      <c r="B9" t="s">
        <v>27</v>
      </c>
      <c r="C9" t="s">
        <v>13</v>
      </c>
      <c r="D9">
        <v>9812345686</v>
      </c>
    </row>
    <row r="10" spans="1:20">
      <c r="A10" t="s">
        <v>28</v>
      </c>
      <c r="B10" t="s">
        <v>156</v>
      </c>
      <c r="C10" t="s">
        <v>10</v>
      </c>
      <c r="D10">
        <v>9812345687</v>
      </c>
    </row>
    <row r="11" spans="1:20">
      <c r="A11" t="s">
        <v>28</v>
      </c>
      <c r="B11" t="s">
        <v>156</v>
      </c>
      <c r="C11" t="s">
        <v>10</v>
      </c>
      <c r="D11">
        <v>9812345687</v>
      </c>
    </row>
    <row r="12" spans="1:20">
      <c r="A12" t="s">
        <v>157</v>
      </c>
      <c r="B12" t="s">
        <v>36</v>
      </c>
      <c r="C12" t="s">
        <v>7</v>
      </c>
      <c r="D12">
        <v>9812345503</v>
      </c>
    </row>
    <row r="13" spans="1:20">
      <c r="A13" t="s">
        <v>158</v>
      </c>
      <c r="B13" t="s">
        <v>30</v>
      </c>
      <c r="C13" t="s">
        <v>13</v>
      </c>
      <c r="D13">
        <v>9812345372</v>
      </c>
    </row>
    <row r="14" spans="1:20">
      <c r="A14" t="s">
        <v>159</v>
      </c>
      <c r="B14" t="s">
        <v>38</v>
      </c>
      <c r="C14" t="s">
        <v>19</v>
      </c>
      <c r="D14">
        <v>9812345805</v>
      </c>
    </row>
    <row r="15" spans="1:20">
      <c r="A15" t="s">
        <v>160</v>
      </c>
      <c r="B15" t="s">
        <v>32</v>
      </c>
      <c r="C15" t="s">
        <v>16</v>
      </c>
      <c r="D15">
        <v>9812345678</v>
      </c>
    </row>
    <row r="16" spans="1:20">
      <c r="A16" t="s">
        <v>11</v>
      </c>
      <c r="B16" t="s">
        <v>12</v>
      </c>
      <c r="C16" t="s">
        <v>10</v>
      </c>
      <c r="D16">
        <v>9812345680</v>
      </c>
    </row>
    <row r="17" spans="1:4">
      <c r="A17" t="s">
        <v>161</v>
      </c>
      <c r="B17" t="s">
        <v>34</v>
      </c>
      <c r="C17" t="s">
        <v>13</v>
      </c>
      <c r="D17">
        <v>9812345409</v>
      </c>
    </row>
  </sheetData>
  <dataValidations count="2">
    <dataValidation type="textLength" allowBlank="1" showInputMessage="1" showErrorMessage="1" sqref="A4 A2:C2 D3:D17" xr:uid="{7B7477D6-2734-45A3-A5A7-FDECCA1487A7}">
      <formula1>10</formula1>
      <formula2>10</formula2>
    </dataValidation>
    <dataValidation type="textLength" allowBlank="1" showInputMessage="1" showErrorMessage="1" errorTitle="WRONG INPUT" error="You are not entering a valid mobile number" sqref="D2" xr:uid="{16202BAB-B629-4873-A353-FB6D7DCC26D9}">
      <formula1>10</formula1>
      <formula2>10</formula2>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7A06-BD83-4B54-AC4C-EE9B1783ECF2}">
  <sheetPr codeName="Sheet10"/>
  <dimension ref="A1:L30"/>
  <sheetViews>
    <sheetView topLeftCell="A9" workbookViewId="0">
      <selection activeCell="F2" sqref="F2"/>
    </sheetView>
  </sheetViews>
  <sheetFormatPr defaultRowHeight="14.4"/>
  <cols>
    <col min="1" max="1" width="9.21875" customWidth="1"/>
    <col min="2" max="2" width="11.77734375" customWidth="1"/>
    <col min="3" max="3" width="11" customWidth="1"/>
    <col min="4" max="4" width="9.44140625" customWidth="1"/>
    <col min="5" max="5" width="13.77734375" customWidth="1"/>
    <col min="6" max="6" width="10.33203125" customWidth="1"/>
    <col min="7" max="7" width="10.6640625" customWidth="1"/>
    <col min="9" max="9" width="36.21875" customWidth="1"/>
    <col min="10" max="10" width="32" customWidth="1"/>
    <col min="12" max="12" width="11.44140625" customWidth="1"/>
  </cols>
  <sheetData>
    <row r="1" spans="1:12">
      <c r="A1" s="10" t="s">
        <v>452</v>
      </c>
      <c r="B1" s="10" t="s">
        <v>453</v>
      </c>
      <c r="C1" s="10" t="s">
        <v>2</v>
      </c>
      <c r="D1" s="10" t="s">
        <v>10</v>
      </c>
      <c r="E1" s="10" t="s">
        <v>454</v>
      </c>
      <c r="F1" s="10" t="s">
        <v>470</v>
      </c>
      <c r="G1" s="27" t="s">
        <v>471</v>
      </c>
    </row>
    <row r="2" spans="1:12">
      <c r="A2" t="s">
        <v>5</v>
      </c>
      <c r="B2" t="s">
        <v>6</v>
      </c>
      <c r="C2" t="s">
        <v>7</v>
      </c>
      <c r="D2">
        <v>72704</v>
      </c>
      <c r="E2" t="str">
        <f>IF(D2&gt;50000,"Completed","Incompleted")</f>
        <v>Completed</v>
      </c>
      <c r="F2" cm="1">
        <f t="array" ref="F2">_xlfn.IFS(D2&gt;70000,D2*20%,D2&gt;50000,D2*15%,D2&lt;=50000,D2*10%)</f>
        <v>14540.800000000001</v>
      </c>
      <c r="G2">
        <f>IF(D2&gt;70000,D2*20%,IF(D2&gt;50000,D2*15%,IF(D2&lt;=50000,D2*10%)))</f>
        <v>14540.800000000001</v>
      </c>
      <c r="J2" s="74" t="s">
        <v>457</v>
      </c>
    </row>
    <row r="3" spans="1:12">
      <c r="A3" t="s">
        <v>8</v>
      </c>
      <c r="B3" t="s">
        <v>9</v>
      </c>
      <c r="C3" t="s">
        <v>13</v>
      </c>
      <c r="D3">
        <v>44718</v>
      </c>
      <c r="E3" t="str">
        <f t="shared" ref="E3:E13" si="0">IF(D3&gt;=50000,"Completed","Incompleted")</f>
        <v>Incompleted</v>
      </c>
      <c r="F3" cm="1">
        <f t="array" ref="F3">_xlfn.IFS(D3&gt;70000,D3*20%,D3&gt;50000,D3*15%,D3&lt;=50000,D3*10%)</f>
        <v>4471.8</v>
      </c>
      <c r="G3">
        <f t="shared" ref="G3:G13" si="1">IF(D3&gt;70000,D3*20%,IF(D3&gt;50000,D3*15%,IF(D3&lt;=50000,D3*10%)))</f>
        <v>4471.8</v>
      </c>
      <c r="J3" s="74"/>
    </row>
    <row r="4" spans="1:12">
      <c r="A4" t="s">
        <v>11</v>
      </c>
      <c r="B4" t="s">
        <v>12</v>
      </c>
      <c r="C4" t="s">
        <v>10</v>
      </c>
      <c r="D4">
        <v>35210</v>
      </c>
      <c r="E4" t="str">
        <f t="shared" si="0"/>
        <v>Incompleted</v>
      </c>
      <c r="F4" cm="1">
        <f t="array" ref="F4">_xlfn.IFS(D4&gt;70000,D4*20%,D4&gt;50000,D4*15%,D4&lt;=50000,D4*10%)</f>
        <v>3521</v>
      </c>
      <c r="G4">
        <f t="shared" si="1"/>
        <v>3521</v>
      </c>
    </row>
    <row r="5" spans="1:12">
      <c r="A5" t="s">
        <v>14</v>
      </c>
      <c r="B5" t="s">
        <v>15</v>
      </c>
      <c r="C5" t="s">
        <v>7</v>
      </c>
      <c r="D5">
        <v>30681</v>
      </c>
      <c r="E5" t="str">
        <f t="shared" si="0"/>
        <v>Incompleted</v>
      </c>
      <c r="F5" cm="1">
        <f t="array" ref="F5">_xlfn.IFS(D5&gt;70000,D5*20%,D5&gt;50000,D5*15%,D5&lt;=50000,D5*10%)</f>
        <v>3068.1000000000004</v>
      </c>
      <c r="G5">
        <f t="shared" si="1"/>
        <v>3068.1000000000004</v>
      </c>
      <c r="J5" t="s">
        <v>455</v>
      </c>
      <c r="L5" t="s">
        <v>456</v>
      </c>
    </row>
    <row r="6" spans="1:12">
      <c r="A6" t="s">
        <v>17</v>
      </c>
      <c r="B6" t="s">
        <v>18</v>
      </c>
      <c r="C6" t="s">
        <v>13</v>
      </c>
      <c r="D6">
        <v>47487</v>
      </c>
      <c r="E6" t="str">
        <f t="shared" si="0"/>
        <v>Incompleted</v>
      </c>
      <c r="F6" cm="1">
        <f t="array" ref="F6">_xlfn.IFS(D6&gt;70000,D6*20%,D6&gt;50000,D6*15%,D6&lt;=50000,D6*10%)</f>
        <v>4748.7</v>
      </c>
      <c r="G6">
        <f t="shared" si="1"/>
        <v>4748.7</v>
      </c>
      <c r="J6" t="s">
        <v>458</v>
      </c>
      <c r="L6" t="s">
        <v>459</v>
      </c>
    </row>
    <row r="7" spans="1:12">
      <c r="A7" t="s">
        <v>20</v>
      </c>
      <c r="B7" t="s">
        <v>12</v>
      </c>
      <c r="C7" t="s">
        <v>13</v>
      </c>
      <c r="D7">
        <v>75613</v>
      </c>
      <c r="E7" t="str">
        <f t="shared" si="0"/>
        <v>Completed</v>
      </c>
      <c r="F7" cm="1">
        <f t="array" ref="F7">_xlfn.IFS(D7&gt;70000,D7*20%,D7&gt;50000,D7*15%,D7&lt;=50000,D7*10%)</f>
        <v>15122.6</v>
      </c>
      <c r="G7">
        <f t="shared" si="1"/>
        <v>15122.6</v>
      </c>
      <c r="J7" t="s">
        <v>460</v>
      </c>
      <c r="L7" t="s">
        <v>461</v>
      </c>
    </row>
    <row r="8" spans="1:12">
      <c r="A8" t="s">
        <v>22</v>
      </c>
      <c r="B8" t="s">
        <v>23</v>
      </c>
      <c r="C8" t="s">
        <v>10</v>
      </c>
      <c r="D8">
        <v>63671</v>
      </c>
      <c r="E8" t="str">
        <f t="shared" si="0"/>
        <v>Completed</v>
      </c>
      <c r="F8" cm="1">
        <f t="array" ref="F8">_xlfn.IFS(D8&gt;70000,D8*20%,D8&gt;50000,D8*15%,D8&lt;=50000,D8*10%)</f>
        <v>9550.65</v>
      </c>
      <c r="G8">
        <f t="shared" si="1"/>
        <v>9550.65</v>
      </c>
    </row>
    <row r="9" spans="1:12" ht="25.8">
      <c r="A9" t="s">
        <v>24</v>
      </c>
      <c r="B9" t="s">
        <v>25</v>
      </c>
      <c r="C9" t="s">
        <v>7</v>
      </c>
      <c r="D9">
        <v>38966</v>
      </c>
      <c r="E9" t="str">
        <f t="shared" si="0"/>
        <v>Incompleted</v>
      </c>
      <c r="F9" cm="1">
        <f t="array" ref="F9">_xlfn.IFS(D9&gt;70000,D9*20%,D9&gt;50000,D9*15%,D9&lt;=50000,D9*10%)</f>
        <v>3896.6000000000004</v>
      </c>
      <c r="G9">
        <f t="shared" si="1"/>
        <v>3896.6000000000004</v>
      </c>
      <c r="J9" s="20" t="s">
        <v>462</v>
      </c>
    </row>
    <row r="10" spans="1:12">
      <c r="A10" t="s">
        <v>26</v>
      </c>
      <c r="B10" t="s">
        <v>27</v>
      </c>
      <c r="C10" t="s">
        <v>13</v>
      </c>
      <c r="D10">
        <v>77052</v>
      </c>
      <c r="E10" t="str">
        <f t="shared" si="0"/>
        <v>Completed</v>
      </c>
      <c r="F10" cm="1">
        <f t="array" ref="F10">_xlfn.IFS(D10&gt;70000,D10*20%,D10&gt;50000,D10*15%,D10&lt;=50000,D10*10%)</f>
        <v>15410.400000000001</v>
      </c>
      <c r="G10">
        <f t="shared" si="1"/>
        <v>15410.400000000001</v>
      </c>
    </row>
    <row r="11" spans="1:12">
      <c r="A11" t="s">
        <v>28</v>
      </c>
      <c r="B11" t="s">
        <v>156</v>
      </c>
      <c r="C11" t="s">
        <v>10</v>
      </c>
      <c r="D11">
        <v>86570</v>
      </c>
      <c r="E11" t="str">
        <f t="shared" si="0"/>
        <v>Completed</v>
      </c>
      <c r="F11" cm="1">
        <f t="array" ref="F11">_xlfn.IFS(D11&gt;70000,D11*20%,D11&gt;50000,D11*15%,D11&lt;=50000,D11*10%)</f>
        <v>17314</v>
      </c>
      <c r="G11">
        <f t="shared" si="1"/>
        <v>17314</v>
      </c>
      <c r="J11" t="s">
        <v>10</v>
      </c>
      <c r="L11" t="s">
        <v>463</v>
      </c>
    </row>
    <row r="12" spans="1:12">
      <c r="A12" t="s">
        <v>29</v>
      </c>
      <c r="B12" t="s">
        <v>30</v>
      </c>
      <c r="C12" t="s">
        <v>10</v>
      </c>
      <c r="D12">
        <v>30250</v>
      </c>
      <c r="E12" t="str">
        <f t="shared" si="0"/>
        <v>Incompleted</v>
      </c>
      <c r="F12" cm="1">
        <f t="array" ref="F12">_xlfn.IFS(D12&gt;70000,D12*20%,D12&gt;50000,D12*15%,D12&lt;=50000,D12*10%)</f>
        <v>3025</v>
      </c>
      <c r="G12">
        <f t="shared" si="1"/>
        <v>3025</v>
      </c>
      <c r="J12" t="s">
        <v>464</v>
      </c>
      <c r="L12" s="26">
        <v>0.2</v>
      </c>
    </row>
    <row r="13" spans="1:12">
      <c r="A13" t="s">
        <v>31</v>
      </c>
      <c r="B13" t="s">
        <v>32</v>
      </c>
      <c r="C13" t="s">
        <v>13</v>
      </c>
      <c r="D13">
        <v>71584</v>
      </c>
      <c r="E13" t="str">
        <f t="shared" si="0"/>
        <v>Completed</v>
      </c>
      <c r="F13" cm="1">
        <f t="array" ref="F13">_xlfn.IFS(D13&gt;70000,D13*20%,D13&gt;50000,D13*15%,D13&lt;=50000,D13*10%)</f>
        <v>14316.800000000001</v>
      </c>
      <c r="G13">
        <f t="shared" si="1"/>
        <v>14316.800000000001</v>
      </c>
      <c r="J13" t="s">
        <v>465</v>
      </c>
      <c r="L13" s="26">
        <v>0.15</v>
      </c>
    </row>
    <row r="14" spans="1:12">
      <c r="J14" t="s">
        <v>460</v>
      </c>
      <c r="L14" s="26">
        <v>0.1</v>
      </c>
    </row>
    <row r="16" spans="1:12" ht="25.8">
      <c r="B16" s="20" t="s">
        <v>466</v>
      </c>
    </row>
    <row r="18" spans="1:2">
      <c r="A18" t="s">
        <v>467</v>
      </c>
    </row>
    <row r="19" spans="1:2">
      <c r="A19" t="s">
        <v>468</v>
      </c>
    </row>
    <row r="20" spans="1:2">
      <c r="A20" t="s">
        <v>469</v>
      </c>
    </row>
    <row r="22" spans="1:2" ht="23.4">
      <c r="B22" s="21" t="s">
        <v>472</v>
      </c>
    </row>
    <row r="24" spans="1:2">
      <c r="A24" t="s">
        <v>473</v>
      </c>
    </row>
    <row r="25" spans="1:2">
      <c r="A25" t="s">
        <v>474</v>
      </c>
    </row>
    <row r="26" spans="1:2">
      <c r="A26" t="s">
        <v>475</v>
      </c>
    </row>
    <row r="27" spans="1:2">
      <c r="A27" t="s">
        <v>476</v>
      </c>
    </row>
    <row r="28" spans="1:2">
      <c r="A28" t="s">
        <v>477</v>
      </c>
    </row>
    <row r="29" spans="1:2">
      <c r="A29" t="s">
        <v>478</v>
      </c>
    </row>
    <row r="30" spans="1:2">
      <c r="A30" t="s">
        <v>479</v>
      </c>
    </row>
  </sheetData>
  <mergeCells count="1">
    <mergeCell ref="J2:J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320A1-10CB-4877-85E0-06AB3AD9A750}">
  <sheetPr codeName="Sheet11"/>
  <dimension ref="A1:K31"/>
  <sheetViews>
    <sheetView topLeftCell="A6" workbookViewId="0">
      <selection activeCell="D2" sqref="D2"/>
    </sheetView>
  </sheetViews>
  <sheetFormatPr defaultRowHeight="14.4"/>
  <cols>
    <col min="1" max="1" width="13.77734375" customWidth="1"/>
    <col min="2" max="2" width="14.33203125" customWidth="1"/>
    <col min="3" max="3" width="11.6640625" customWidth="1"/>
    <col min="4" max="4" width="25.109375" customWidth="1"/>
    <col min="5" max="5" width="25.77734375" customWidth="1"/>
    <col min="9" max="9" width="12.6640625" customWidth="1"/>
  </cols>
  <sheetData>
    <row r="1" spans="1:11">
      <c r="A1" s="10" t="s">
        <v>2</v>
      </c>
      <c r="B1" s="10" t="s">
        <v>480</v>
      </c>
      <c r="C1" s="10" t="s">
        <v>3</v>
      </c>
      <c r="D1" s="10" t="s">
        <v>486</v>
      </c>
      <c r="E1" s="27" t="s">
        <v>487</v>
      </c>
    </row>
    <row r="2" spans="1:11" ht="25.8">
      <c r="A2" t="s">
        <v>7</v>
      </c>
      <c r="B2">
        <v>5</v>
      </c>
      <c r="C2">
        <v>41954</v>
      </c>
      <c r="D2" t="str">
        <f>IF(AND(A2="finance",B2&gt;=5),"Yes","No")</f>
        <v>Yes</v>
      </c>
      <c r="E2" t="str">
        <f>IF(OR(A2="Finance",B2&gt;=5),"Yes","No")</f>
        <v>Yes</v>
      </c>
      <c r="I2" s="20" t="s">
        <v>482</v>
      </c>
    </row>
    <row r="3" spans="1:11">
      <c r="A3" t="s">
        <v>13</v>
      </c>
      <c r="B3">
        <v>4</v>
      </c>
      <c r="C3">
        <v>49855</v>
      </c>
      <c r="D3" t="str">
        <f t="shared" ref="D3:D13" si="0">IF(AND(A3="finance",B3&gt;=5),"Yes","No")</f>
        <v>No</v>
      </c>
      <c r="E3" t="str">
        <f t="shared" ref="E3:E13" si="1">IF(OR(A3="Finance",B3&gt;=5),"Yes","No")</f>
        <v>No</v>
      </c>
      <c r="I3" s="24" t="s">
        <v>491</v>
      </c>
    </row>
    <row r="4" spans="1:11">
      <c r="A4" t="s">
        <v>10</v>
      </c>
      <c r="B4">
        <v>3</v>
      </c>
      <c r="C4">
        <v>94210</v>
      </c>
      <c r="D4" t="str">
        <f t="shared" si="0"/>
        <v>No</v>
      </c>
      <c r="E4" t="str">
        <f t="shared" si="1"/>
        <v>No</v>
      </c>
      <c r="I4" t="s">
        <v>483</v>
      </c>
      <c r="K4" t="s">
        <v>481</v>
      </c>
    </row>
    <row r="5" spans="1:11">
      <c r="A5" t="s">
        <v>7</v>
      </c>
      <c r="B5">
        <v>5</v>
      </c>
      <c r="C5">
        <v>74689</v>
      </c>
      <c r="D5" t="str">
        <f t="shared" si="0"/>
        <v>Yes</v>
      </c>
      <c r="E5" t="str">
        <f t="shared" si="1"/>
        <v>Yes</v>
      </c>
      <c r="I5" t="s">
        <v>7</v>
      </c>
      <c r="J5" t="s">
        <v>484</v>
      </c>
      <c r="K5" t="s">
        <v>485</v>
      </c>
    </row>
    <row r="6" spans="1:11">
      <c r="A6" t="s">
        <v>13</v>
      </c>
      <c r="B6">
        <v>6</v>
      </c>
      <c r="C6">
        <v>90652</v>
      </c>
      <c r="D6" t="str">
        <f t="shared" si="0"/>
        <v>No</v>
      </c>
      <c r="E6" t="str">
        <f t="shared" si="1"/>
        <v>Yes</v>
      </c>
    </row>
    <row r="7" spans="1:11">
      <c r="A7" t="s">
        <v>13</v>
      </c>
      <c r="B7">
        <v>2</v>
      </c>
      <c r="C7">
        <v>74820</v>
      </c>
      <c r="D7" t="str">
        <f t="shared" si="0"/>
        <v>No</v>
      </c>
      <c r="E7" t="str">
        <f t="shared" si="1"/>
        <v>No</v>
      </c>
    </row>
    <row r="8" spans="1:11">
      <c r="A8" t="s">
        <v>10</v>
      </c>
      <c r="B8">
        <v>3</v>
      </c>
      <c r="C8">
        <v>85206</v>
      </c>
      <c r="D8" t="str">
        <f t="shared" si="0"/>
        <v>No</v>
      </c>
      <c r="E8" t="str">
        <f t="shared" si="1"/>
        <v>No</v>
      </c>
      <c r="I8" s="24" t="s">
        <v>492</v>
      </c>
    </row>
    <row r="9" spans="1:11">
      <c r="A9" t="s">
        <v>7</v>
      </c>
      <c r="B9">
        <v>4</v>
      </c>
      <c r="C9">
        <v>30924</v>
      </c>
      <c r="D9" t="str">
        <f t="shared" si="0"/>
        <v>No</v>
      </c>
      <c r="E9" t="str">
        <f t="shared" si="1"/>
        <v>Yes</v>
      </c>
      <c r="I9" t="s">
        <v>490</v>
      </c>
      <c r="K9" t="s">
        <v>489</v>
      </c>
    </row>
    <row r="10" spans="1:11">
      <c r="A10" t="s">
        <v>13</v>
      </c>
      <c r="B10">
        <v>6</v>
      </c>
      <c r="C10">
        <v>57737</v>
      </c>
      <c r="D10" t="str">
        <f t="shared" si="0"/>
        <v>No</v>
      </c>
      <c r="E10" t="str">
        <f t="shared" si="1"/>
        <v>Yes</v>
      </c>
      <c r="I10" t="s">
        <v>7</v>
      </c>
      <c r="J10" t="s">
        <v>488</v>
      </c>
      <c r="K10" t="s">
        <v>485</v>
      </c>
    </row>
    <row r="11" spans="1:11">
      <c r="A11" t="s">
        <v>10</v>
      </c>
      <c r="B11">
        <v>2</v>
      </c>
      <c r="C11">
        <v>36000</v>
      </c>
      <c r="D11" t="str">
        <f t="shared" si="0"/>
        <v>No</v>
      </c>
      <c r="E11" t="str">
        <f t="shared" si="1"/>
        <v>No</v>
      </c>
    </row>
    <row r="12" spans="1:11">
      <c r="A12" t="s">
        <v>10</v>
      </c>
      <c r="B12">
        <v>3</v>
      </c>
      <c r="C12">
        <v>96371</v>
      </c>
      <c r="D12" t="str">
        <f t="shared" si="0"/>
        <v>No</v>
      </c>
      <c r="E12" t="str">
        <f t="shared" si="1"/>
        <v>No</v>
      </c>
    </row>
    <row r="13" spans="1:11">
      <c r="A13" t="s">
        <v>13</v>
      </c>
      <c r="B13">
        <v>7</v>
      </c>
      <c r="C13">
        <v>85028</v>
      </c>
      <c r="D13" t="str">
        <f t="shared" si="0"/>
        <v>No</v>
      </c>
      <c r="E13" t="str">
        <f t="shared" si="1"/>
        <v>Yes</v>
      </c>
    </row>
    <row r="16" spans="1:11" ht="25.8">
      <c r="C16" s="20" t="s">
        <v>493</v>
      </c>
    </row>
    <row r="18" spans="1:3">
      <c r="A18" t="s">
        <v>494</v>
      </c>
    </row>
    <row r="19" spans="1:3">
      <c r="A19" t="s">
        <v>495</v>
      </c>
    </row>
    <row r="20" spans="1:3">
      <c r="A20" t="s">
        <v>496</v>
      </c>
    </row>
    <row r="21" spans="1:3">
      <c r="A21" t="s">
        <v>497</v>
      </c>
    </row>
    <row r="22" spans="1:3">
      <c r="A22" t="s">
        <v>498</v>
      </c>
    </row>
    <row r="24" spans="1:3" ht="25.8">
      <c r="C24" s="20" t="s">
        <v>499</v>
      </c>
    </row>
    <row r="26" spans="1:3">
      <c r="A26" t="s">
        <v>500</v>
      </c>
    </row>
    <row r="27" spans="1:3">
      <c r="A27" t="s">
        <v>495</v>
      </c>
    </row>
    <row r="28" spans="1:3">
      <c r="A28" t="s">
        <v>496</v>
      </c>
    </row>
    <row r="29" spans="1:3">
      <c r="A29" t="s">
        <v>497</v>
      </c>
    </row>
    <row r="30" spans="1:3">
      <c r="A30" t="s">
        <v>498</v>
      </c>
      <c r="C30" t="s">
        <v>501</v>
      </c>
    </row>
    <row r="31" spans="1:3">
      <c r="A31" t="s">
        <v>502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3E52F-7934-463D-AC0D-AE493165563B}">
  <sheetPr codeName="Sheet12"/>
  <dimension ref="A1:T32"/>
  <sheetViews>
    <sheetView topLeftCell="A26" zoomScale="115" zoomScaleNormal="115" workbookViewId="0">
      <selection activeCell="I7" sqref="I7"/>
    </sheetView>
  </sheetViews>
  <sheetFormatPr defaultRowHeight="14.4"/>
  <cols>
    <col min="1" max="1" width="12.33203125" customWidth="1"/>
    <col min="2" max="2" width="9.6640625" customWidth="1"/>
    <col min="3" max="3" width="14.109375" customWidth="1"/>
    <col min="4" max="4" width="13.5546875" customWidth="1"/>
    <col min="5" max="5" width="12.21875" customWidth="1"/>
    <col min="6" max="6" width="9.6640625" customWidth="1"/>
    <col min="7" max="7" width="15.88671875" customWidth="1"/>
    <col min="8" max="8" width="14.6640625" customWidth="1"/>
    <col min="10" max="10" width="0.44140625" customWidth="1"/>
    <col min="11" max="12" width="8.88671875" hidden="1" customWidth="1"/>
    <col min="13" max="13" width="15.21875" customWidth="1"/>
    <col min="15" max="15" width="13.44140625" customWidth="1"/>
    <col min="16" max="16" width="12.21875" customWidth="1"/>
    <col min="17" max="17" width="11.44140625" customWidth="1"/>
    <col min="19" max="19" width="14.6640625" customWidth="1"/>
    <col min="20" max="20" width="13.109375" customWidth="1"/>
  </cols>
  <sheetData>
    <row r="1" spans="1:20">
      <c r="A1" t="s">
        <v>503</v>
      </c>
      <c r="B1" t="s">
        <v>504</v>
      </c>
      <c r="C1" t="s">
        <v>505</v>
      </c>
      <c r="D1" t="s">
        <v>383</v>
      </c>
      <c r="E1" t="s">
        <v>506</v>
      </c>
      <c r="F1" t="s">
        <v>507</v>
      </c>
      <c r="G1" t="s">
        <v>508</v>
      </c>
      <c r="H1" t="s">
        <v>509</v>
      </c>
      <c r="M1" t="s">
        <v>503</v>
      </c>
      <c r="N1" t="s">
        <v>504</v>
      </c>
      <c r="O1" t="s">
        <v>505</v>
      </c>
      <c r="P1" t="s">
        <v>383</v>
      </c>
      <c r="Q1" t="s">
        <v>506</v>
      </c>
      <c r="R1" t="s">
        <v>507</v>
      </c>
      <c r="S1" t="s">
        <v>508</v>
      </c>
      <c r="T1" t="s">
        <v>509</v>
      </c>
    </row>
    <row r="2" spans="1:20">
      <c r="A2" s="28">
        <v>44949</v>
      </c>
      <c r="B2" t="s">
        <v>512</v>
      </c>
      <c r="C2" t="s">
        <v>515</v>
      </c>
      <c r="D2" t="s">
        <v>516</v>
      </c>
      <c r="E2" t="s">
        <v>517</v>
      </c>
      <c r="F2">
        <v>1</v>
      </c>
      <c r="G2">
        <v>267.32</v>
      </c>
      <c r="H2">
        <v>267.32</v>
      </c>
      <c r="M2" s="28">
        <v>45241</v>
      </c>
      <c r="N2" t="s">
        <v>510</v>
      </c>
      <c r="O2" t="s">
        <v>511</v>
      </c>
      <c r="P2" t="s">
        <v>382</v>
      </c>
      <c r="Q2" t="s">
        <v>188</v>
      </c>
      <c r="R2">
        <v>3</v>
      </c>
      <c r="S2">
        <v>4210.7700000000004</v>
      </c>
      <c r="T2">
        <v>12632.31</v>
      </c>
    </row>
    <row r="3" spans="1:20">
      <c r="A3" s="28">
        <v>44962</v>
      </c>
      <c r="B3" t="s">
        <v>512</v>
      </c>
      <c r="C3" t="s">
        <v>515</v>
      </c>
      <c r="D3" t="s">
        <v>522</v>
      </c>
      <c r="E3" t="s">
        <v>196</v>
      </c>
      <c r="F3">
        <v>6</v>
      </c>
      <c r="G3">
        <v>2463.6799999999998</v>
      </c>
      <c r="H3">
        <v>14782.08</v>
      </c>
      <c r="M3" s="28">
        <v>45101</v>
      </c>
      <c r="N3" t="s">
        <v>512</v>
      </c>
      <c r="O3" t="s">
        <v>513</v>
      </c>
      <c r="P3" t="s">
        <v>514</v>
      </c>
      <c r="Q3" t="s">
        <v>196</v>
      </c>
      <c r="R3">
        <v>19</v>
      </c>
      <c r="S3">
        <v>2873.83</v>
      </c>
      <c r="T3">
        <v>54602.77</v>
      </c>
    </row>
    <row r="4" spans="1:20">
      <c r="A4" s="28">
        <v>44972</v>
      </c>
      <c r="B4" t="s">
        <v>510</v>
      </c>
      <c r="C4" t="s">
        <v>524</v>
      </c>
      <c r="D4" t="s">
        <v>525</v>
      </c>
      <c r="E4" t="s">
        <v>180</v>
      </c>
      <c r="F4">
        <v>10</v>
      </c>
      <c r="G4">
        <v>843.5</v>
      </c>
      <c r="H4">
        <v>8435</v>
      </c>
      <c r="M4" s="28">
        <v>44949</v>
      </c>
      <c r="N4" t="s">
        <v>512</v>
      </c>
      <c r="O4" t="s">
        <v>515</v>
      </c>
      <c r="P4" t="s">
        <v>516</v>
      </c>
      <c r="Q4" t="s">
        <v>517</v>
      </c>
      <c r="R4">
        <v>1</v>
      </c>
      <c r="S4">
        <v>267.32</v>
      </c>
      <c r="T4">
        <v>267.32</v>
      </c>
    </row>
    <row r="5" spans="1:20">
      <c r="A5" s="28">
        <v>44973</v>
      </c>
      <c r="B5" t="s">
        <v>519</v>
      </c>
      <c r="C5" t="s">
        <v>403</v>
      </c>
      <c r="D5" t="s">
        <v>520</v>
      </c>
      <c r="E5" t="s">
        <v>517</v>
      </c>
      <c r="F5">
        <v>2</v>
      </c>
      <c r="G5">
        <v>4059.61</v>
      </c>
      <c r="H5">
        <v>8119.22</v>
      </c>
      <c r="M5" s="28">
        <v>45260</v>
      </c>
      <c r="N5" t="s">
        <v>512</v>
      </c>
      <c r="O5" t="s">
        <v>515</v>
      </c>
      <c r="P5" t="s">
        <v>518</v>
      </c>
      <c r="Q5" t="s">
        <v>188</v>
      </c>
      <c r="R5">
        <v>9</v>
      </c>
      <c r="S5">
        <v>1378.65</v>
      </c>
      <c r="T5">
        <v>12407.85</v>
      </c>
    </row>
    <row r="6" spans="1:20">
      <c r="A6" s="28">
        <v>44995</v>
      </c>
      <c r="B6" t="s">
        <v>519</v>
      </c>
      <c r="C6" t="s">
        <v>403</v>
      </c>
      <c r="D6" t="s">
        <v>520</v>
      </c>
      <c r="E6" t="s">
        <v>180</v>
      </c>
      <c r="F6">
        <v>3</v>
      </c>
      <c r="G6">
        <v>4229.84</v>
      </c>
      <c r="H6">
        <v>12689.52</v>
      </c>
      <c r="M6" s="28">
        <v>45289</v>
      </c>
      <c r="N6" t="s">
        <v>519</v>
      </c>
      <c r="O6" t="s">
        <v>403</v>
      </c>
      <c r="P6" t="s">
        <v>520</v>
      </c>
      <c r="Q6" t="s">
        <v>188</v>
      </c>
      <c r="R6">
        <v>9</v>
      </c>
      <c r="S6">
        <v>1161.02</v>
      </c>
      <c r="T6">
        <v>10449.18</v>
      </c>
    </row>
    <row r="7" spans="1:20">
      <c r="A7" s="28">
        <v>44996</v>
      </c>
      <c r="B7" t="s">
        <v>510</v>
      </c>
      <c r="C7" t="s">
        <v>511</v>
      </c>
      <c r="D7" t="s">
        <v>521</v>
      </c>
      <c r="E7" t="s">
        <v>196</v>
      </c>
      <c r="F7">
        <v>5</v>
      </c>
      <c r="G7">
        <v>3732.82</v>
      </c>
      <c r="H7">
        <v>18664.099999999999</v>
      </c>
      <c r="K7" t="s">
        <v>304</v>
      </c>
      <c r="M7" s="28">
        <v>44996</v>
      </c>
      <c r="N7" t="s">
        <v>510</v>
      </c>
      <c r="O7" t="s">
        <v>511</v>
      </c>
      <c r="P7" t="s">
        <v>521</v>
      </c>
      <c r="Q7" t="s">
        <v>196</v>
      </c>
      <c r="R7">
        <v>5</v>
      </c>
      <c r="S7">
        <v>3732.82</v>
      </c>
      <c r="T7">
        <v>18664.099999999999</v>
      </c>
    </row>
    <row r="8" spans="1:20">
      <c r="A8" s="28">
        <v>44998</v>
      </c>
      <c r="B8" t="s">
        <v>510</v>
      </c>
      <c r="C8" t="s">
        <v>511</v>
      </c>
      <c r="D8" t="s">
        <v>382</v>
      </c>
      <c r="E8" t="s">
        <v>188</v>
      </c>
      <c r="F8">
        <v>5</v>
      </c>
      <c r="G8">
        <v>4987.7</v>
      </c>
      <c r="H8">
        <v>24938.5</v>
      </c>
      <c r="M8" s="28">
        <v>45250</v>
      </c>
      <c r="N8" t="s">
        <v>519</v>
      </c>
      <c r="O8" t="s">
        <v>403</v>
      </c>
      <c r="P8" t="s">
        <v>520</v>
      </c>
      <c r="Q8" t="s">
        <v>192</v>
      </c>
      <c r="R8">
        <v>4</v>
      </c>
      <c r="S8">
        <v>961.38</v>
      </c>
      <c r="T8">
        <v>3845.52</v>
      </c>
    </row>
    <row r="9" spans="1:20">
      <c r="A9" s="28">
        <v>45058</v>
      </c>
      <c r="B9" t="s">
        <v>512</v>
      </c>
      <c r="C9" t="s">
        <v>515</v>
      </c>
      <c r="D9" t="s">
        <v>518</v>
      </c>
      <c r="E9" t="s">
        <v>180</v>
      </c>
      <c r="F9">
        <v>11</v>
      </c>
      <c r="G9">
        <v>2852.22</v>
      </c>
      <c r="H9">
        <v>31374.42</v>
      </c>
      <c r="M9" s="28">
        <v>45213</v>
      </c>
      <c r="N9" t="s">
        <v>519</v>
      </c>
      <c r="O9" t="s">
        <v>403</v>
      </c>
      <c r="P9" t="s">
        <v>520</v>
      </c>
      <c r="Q9" t="s">
        <v>517</v>
      </c>
      <c r="R9">
        <v>14</v>
      </c>
      <c r="S9">
        <v>4457.21</v>
      </c>
      <c r="T9">
        <v>62400.94</v>
      </c>
    </row>
    <row r="10" spans="1:20">
      <c r="A10" s="28">
        <v>45065</v>
      </c>
      <c r="B10" t="s">
        <v>519</v>
      </c>
      <c r="C10" t="s">
        <v>403</v>
      </c>
      <c r="D10" t="s">
        <v>520</v>
      </c>
      <c r="E10" t="s">
        <v>188</v>
      </c>
      <c r="F10">
        <v>13</v>
      </c>
      <c r="G10">
        <v>1965.63</v>
      </c>
      <c r="H10">
        <v>25553.19</v>
      </c>
      <c r="M10" s="28">
        <v>44962</v>
      </c>
      <c r="N10" t="s">
        <v>512</v>
      </c>
      <c r="O10" t="s">
        <v>515</v>
      </c>
      <c r="P10" t="s">
        <v>522</v>
      </c>
      <c r="Q10" t="s">
        <v>196</v>
      </c>
      <c r="R10">
        <v>6</v>
      </c>
      <c r="S10">
        <v>2463.6799999999998</v>
      </c>
      <c r="T10">
        <v>14782.08</v>
      </c>
    </row>
    <row r="11" spans="1:20">
      <c r="A11" s="28">
        <v>45070</v>
      </c>
      <c r="B11" t="s">
        <v>519</v>
      </c>
      <c r="C11" t="s">
        <v>403</v>
      </c>
      <c r="D11" t="s">
        <v>520</v>
      </c>
      <c r="E11" t="s">
        <v>180</v>
      </c>
      <c r="F11">
        <v>4</v>
      </c>
      <c r="G11">
        <v>1020.23</v>
      </c>
      <c r="H11">
        <v>4080.92</v>
      </c>
      <c r="M11" s="28">
        <v>45236</v>
      </c>
      <c r="N11" t="s">
        <v>512</v>
      </c>
      <c r="O11" t="s">
        <v>513</v>
      </c>
      <c r="P11" t="s">
        <v>523</v>
      </c>
      <c r="Q11" t="s">
        <v>517</v>
      </c>
      <c r="R11">
        <v>13</v>
      </c>
      <c r="S11">
        <v>4226.47</v>
      </c>
      <c r="T11">
        <v>54944.11</v>
      </c>
    </row>
    <row r="12" spans="1:20">
      <c r="A12" s="28">
        <v>45095</v>
      </c>
      <c r="B12" t="s">
        <v>510</v>
      </c>
      <c r="C12" t="s">
        <v>524</v>
      </c>
      <c r="D12" t="s">
        <v>526</v>
      </c>
      <c r="E12" t="s">
        <v>196</v>
      </c>
      <c r="F12">
        <v>5</v>
      </c>
      <c r="G12">
        <v>3860.73</v>
      </c>
      <c r="H12">
        <v>19303.650000000001</v>
      </c>
      <c r="M12" s="28">
        <v>45058</v>
      </c>
      <c r="N12" t="s">
        <v>512</v>
      </c>
      <c r="O12" t="s">
        <v>515</v>
      </c>
      <c r="P12" t="s">
        <v>518</v>
      </c>
      <c r="Q12" t="s">
        <v>180</v>
      </c>
      <c r="R12">
        <v>11</v>
      </c>
      <c r="S12">
        <v>2852.22</v>
      </c>
      <c r="T12">
        <v>31374.42</v>
      </c>
    </row>
    <row r="13" spans="1:20">
      <c r="A13" s="28">
        <v>45101</v>
      </c>
      <c r="B13" t="s">
        <v>512</v>
      </c>
      <c r="C13" t="s">
        <v>513</v>
      </c>
      <c r="D13" t="s">
        <v>514</v>
      </c>
      <c r="E13" t="s">
        <v>196</v>
      </c>
      <c r="F13">
        <v>19</v>
      </c>
      <c r="G13">
        <v>2873.83</v>
      </c>
      <c r="H13">
        <v>54602.77</v>
      </c>
      <c r="M13" s="28">
        <v>44973</v>
      </c>
      <c r="N13" t="s">
        <v>519</v>
      </c>
      <c r="O13" t="s">
        <v>403</v>
      </c>
      <c r="P13" t="s">
        <v>520</v>
      </c>
      <c r="Q13" t="s">
        <v>517</v>
      </c>
      <c r="R13">
        <v>2</v>
      </c>
      <c r="S13">
        <v>4059.61</v>
      </c>
      <c r="T13">
        <v>8119.22</v>
      </c>
    </row>
    <row r="14" spans="1:20">
      <c r="A14" s="28">
        <v>45213</v>
      </c>
      <c r="B14" t="s">
        <v>519</v>
      </c>
      <c r="C14" t="s">
        <v>403</v>
      </c>
      <c r="D14" t="s">
        <v>520</v>
      </c>
      <c r="E14" t="s">
        <v>517</v>
      </c>
      <c r="F14">
        <v>14</v>
      </c>
      <c r="G14">
        <v>4457.21</v>
      </c>
      <c r="H14">
        <v>62400.94</v>
      </c>
      <c r="M14" s="28">
        <v>45065</v>
      </c>
      <c r="N14" t="s">
        <v>519</v>
      </c>
      <c r="O14" t="s">
        <v>403</v>
      </c>
      <c r="P14" t="s">
        <v>520</v>
      </c>
      <c r="Q14" t="s">
        <v>188</v>
      </c>
      <c r="R14">
        <v>13</v>
      </c>
      <c r="S14">
        <v>1965.63</v>
      </c>
      <c r="T14">
        <v>25553.19</v>
      </c>
    </row>
    <row r="15" spans="1:20">
      <c r="A15" s="28">
        <v>45225</v>
      </c>
      <c r="B15" t="s">
        <v>519</v>
      </c>
      <c r="C15" t="s">
        <v>403</v>
      </c>
      <c r="D15" t="s">
        <v>520</v>
      </c>
      <c r="E15" t="s">
        <v>192</v>
      </c>
      <c r="F15">
        <v>16</v>
      </c>
      <c r="G15">
        <v>2178.7800000000002</v>
      </c>
      <c r="H15">
        <v>34860.480000000003</v>
      </c>
      <c r="M15" s="28">
        <v>45070</v>
      </c>
      <c r="N15" t="s">
        <v>519</v>
      </c>
      <c r="O15" t="s">
        <v>403</v>
      </c>
      <c r="P15" t="s">
        <v>520</v>
      </c>
      <c r="Q15" t="s">
        <v>180</v>
      </c>
      <c r="R15">
        <v>4</v>
      </c>
      <c r="S15">
        <v>1020.23</v>
      </c>
      <c r="T15">
        <v>4080.92</v>
      </c>
    </row>
    <row r="16" spans="1:20">
      <c r="A16" s="28">
        <v>45226</v>
      </c>
      <c r="B16" t="s">
        <v>510</v>
      </c>
      <c r="C16" t="s">
        <v>524</v>
      </c>
      <c r="D16" t="s">
        <v>525</v>
      </c>
      <c r="E16" t="s">
        <v>188</v>
      </c>
      <c r="F16">
        <v>11</v>
      </c>
      <c r="G16">
        <v>255.3</v>
      </c>
      <c r="H16">
        <v>2808.3</v>
      </c>
      <c r="M16" s="28">
        <v>45225</v>
      </c>
      <c r="N16" t="s">
        <v>519</v>
      </c>
      <c r="O16" t="s">
        <v>403</v>
      </c>
      <c r="P16" t="s">
        <v>520</v>
      </c>
      <c r="Q16" t="s">
        <v>192</v>
      </c>
      <c r="R16">
        <v>16</v>
      </c>
      <c r="S16">
        <v>2178.7800000000002</v>
      </c>
      <c r="T16">
        <v>34860.480000000003</v>
      </c>
    </row>
    <row r="17" spans="1:20">
      <c r="A17" s="28">
        <v>45236</v>
      </c>
      <c r="B17" t="s">
        <v>512</v>
      </c>
      <c r="C17" t="s">
        <v>513</v>
      </c>
      <c r="D17" t="s">
        <v>523</v>
      </c>
      <c r="E17" t="s">
        <v>517</v>
      </c>
      <c r="F17">
        <v>13</v>
      </c>
      <c r="G17">
        <v>4226.47</v>
      </c>
      <c r="H17">
        <v>54944.11</v>
      </c>
      <c r="M17" s="28">
        <v>44995</v>
      </c>
      <c r="N17" t="s">
        <v>519</v>
      </c>
      <c r="O17" t="s">
        <v>403</v>
      </c>
      <c r="P17" t="s">
        <v>520</v>
      </c>
      <c r="Q17" t="s">
        <v>180</v>
      </c>
      <c r="R17">
        <v>3</v>
      </c>
      <c r="S17">
        <v>4229.84</v>
      </c>
      <c r="T17">
        <v>12689.52</v>
      </c>
    </row>
    <row r="18" spans="1:20">
      <c r="A18" s="28">
        <v>45241</v>
      </c>
      <c r="B18" t="s">
        <v>510</v>
      </c>
      <c r="C18" t="s">
        <v>511</v>
      </c>
      <c r="D18" t="s">
        <v>382</v>
      </c>
      <c r="E18" t="s">
        <v>188</v>
      </c>
      <c r="F18">
        <v>3</v>
      </c>
      <c r="G18">
        <v>4210.7700000000004</v>
      </c>
      <c r="H18">
        <v>12632.31</v>
      </c>
      <c r="M18" s="28">
        <v>45226</v>
      </c>
      <c r="N18" t="s">
        <v>510</v>
      </c>
      <c r="O18" t="s">
        <v>524</v>
      </c>
      <c r="P18" t="s">
        <v>525</v>
      </c>
      <c r="Q18" t="s">
        <v>188</v>
      </c>
      <c r="R18">
        <v>11</v>
      </c>
      <c r="S18">
        <v>255.3</v>
      </c>
      <c r="T18">
        <v>2808.3</v>
      </c>
    </row>
    <row r="19" spans="1:20">
      <c r="A19" s="28">
        <v>45250</v>
      </c>
      <c r="B19" t="s">
        <v>519</v>
      </c>
      <c r="C19" t="s">
        <v>403</v>
      </c>
      <c r="D19" t="s">
        <v>520</v>
      </c>
      <c r="E19" t="s">
        <v>192</v>
      </c>
      <c r="F19">
        <v>4</v>
      </c>
      <c r="G19">
        <v>961.38</v>
      </c>
      <c r="H19">
        <v>3845.52</v>
      </c>
      <c r="M19" s="28">
        <v>45261</v>
      </c>
      <c r="N19" t="s">
        <v>510</v>
      </c>
      <c r="O19" t="s">
        <v>524</v>
      </c>
      <c r="P19" t="s">
        <v>526</v>
      </c>
      <c r="Q19" t="s">
        <v>196</v>
      </c>
      <c r="R19">
        <v>1</v>
      </c>
      <c r="S19">
        <v>4557.0600000000004</v>
      </c>
      <c r="T19">
        <v>4557.0600000000004</v>
      </c>
    </row>
    <row r="20" spans="1:20">
      <c r="A20" s="28">
        <v>45260</v>
      </c>
      <c r="B20" t="s">
        <v>512</v>
      </c>
      <c r="C20" t="s">
        <v>515</v>
      </c>
      <c r="D20" t="s">
        <v>518</v>
      </c>
      <c r="E20" t="s">
        <v>188</v>
      </c>
      <c r="F20">
        <v>9</v>
      </c>
      <c r="G20">
        <v>1378.65</v>
      </c>
      <c r="H20">
        <v>12407.85</v>
      </c>
      <c r="M20" s="28">
        <v>44972</v>
      </c>
      <c r="N20" t="s">
        <v>510</v>
      </c>
      <c r="O20" t="s">
        <v>524</v>
      </c>
      <c r="P20" t="s">
        <v>525</v>
      </c>
      <c r="Q20" t="s">
        <v>180</v>
      </c>
      <c r="R20">
        <v>10</v>
      </c>
      <c r="S20">
        <v>843.5</v>
      </c>
      <c r="T20">
        <v>8435</v>
      </c>
    </row>
    <row r="21" spans="1:20">
      <c r="A21" s="28">
        <v>45261</v>
      </c>
      <c r="B21" t="s">
        <v>510</v>
      </c>
      <c r="C21" t="s">
        <v>524</v>
      </c>
      <c r="D21" t="s">
        <v>526</v>
      </c>
      <c r="E21" t="s">
        <v>196</v>
      </c>
      <c r="F21">
        <v>1</v>
      </c>
      <c r="G21">
        <v>4557.0600000000004</v>
      </c>
      <c r="H21">
        <v>4557.0600000000004</v>
      </c>
      <c r="M21" s="28">
        <v>44998</v>
      </c>
      <c r="N21" t="s">
        <v>510</v>
      </c>
      <c r="O21" t="s">
        <v>511</v>
      </c>
      <c r="P21" t="s">
        <v>382</v>
      </c>
      <c r="Q21" t="s">
        <v>188</v>
      </c>
      <c r="R21">
        <v>5</v>
      </c>
      <c r="S21">
        <v>4987.7</v>
      </c>
      <c r="T21">
        <v>24938.5</v>
      </c>
    </row>
    <row r="22" spans="1:20">
      <c r="A22" s="28">
        <v>45289</v>
      </c>
      <c r="B22" t="s">
        <v>519</v>
      </c>
      <c r="C22" t="s">
        <v>403</v>
      </c>
      <c r="D22" t="s">
        <v>520</v>
      </c>
      <c r="E22" t="s">
        <v>188</v>
      </c>
      <c r="F22">
        <v>9</v>
      </c>
      <c r="G22">
        <v>1161.02</v>
      </c>
      <c r="H22">
        <v>10449.18</v>
      </c>
      <c r="M22" s="28">
        <v>45095</v>
      </c>
      <c r="N22" t="s">
        <v>510</v>
      </c>
      <c r="O22" t="s">
        <v>524</v>
      </c>
      <c r="P22" t="s">
        <v>526</v>
      </c>
      <c r="Q22" t="s">
        <v>196</v>
      </c>
      <c r="R22">
        <v>5</v>
      </c>
      <c r="S22">
        <v>3860.73</v>
      </c>
      <c r="T22">
        <v>19303.650000000001</v>
      </c>
    </row>
    <row r="23" spans="1:20" ht="25.8">
      <c r="C23" s="20" t="s">
        <v>528</v>
      </c>
      <c r="P23" s="20" t="s">
        <v>529</v>
      </c>
    </row>
    <row r="24" spans="1:20">
      <c r="C24" s="24" t="s">
        <v>536</v>
      </c>
      <c r="O24" s="24" t="s">
        <v>537</v>
      </c>
    </row>
    <row r="25" spans="1:20" ht="25.8">
      <c r="C25" s="20" t="s">
        <v>527</v>
      </c>
    </row>
    <row r="27" spans="1:20">
      <c r="A27" t="s">
        <v>530</v>
      </c>
    </row>
    <row r="28" spans="1:20">
      <c r="A28" t="s">
        <v>531</v>
      </c>
    </row>
    <row r="29" spans="1:20">
      <c r="A29" t="s">
        <v>532</v>
      </c>
    </row>
    <row r="30" spans="1:20">
      <c r="A30" t="s">
        <v>533</v>
      </c>
    </row>
    <row r="31" spans="1:20">
      <c r="A31" t="s">
        <v>504</v>
      </c>
      <c r="B31" t="s">
        <v>505</v>
      </c>
      <c r="C31" t="s">
        <v>383</v>
      </c>
      <c r="D31" t="s">
        <v>506</v>
      </c>
      <c r="E31" t="s">
        <v>534</v>
      </c>
    </row>
    <row r="32" spans="1:20">
      <c r="A32" t="s">
        <v>535</v>
      </c>
    </row>
  </sheetData>
  <sortState xmlns:xlrd2="http://schemas.microsoft.com/office/spreadsheetml/2017/richdata2" ref="A2:H25">
    <sortCondition ref="A2:A25"/>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14C7-EF0D-481F-AED2-586BDE03E601}">
  <sheetPr codeName="Sheet13"/>
  <dimension ref="A1:I30"/>
  <sheetViews>
    <sheetView topLeftCell="A7" workbookViewId="0">
      <selection activeCell="A29" sqref="A29"/>
    </sheetView>
  </sheetViews>
  <sheetFormatPr defaultRowHeight="14.4"/>
  <cols>
    <col min="1" max="1" width="13.21875" customWidth="1"/>
    <col min="3" max="3" width="13.33203125" customWidth="1"/>
    <col min="4" max="4" width="12" customWidth="1"/>
    <col min="5" max="5" width="13.77734375" customWidth="1"/>
    <col min="7" max="7" width="14.88671875" customWidth="1"/>
    <col min="8" max="8" width="13.6640625" customWidth="1"/>
  </cols>
  <sheetData>
    <row r="1" spans="1:8">
      <c r="A1" t="s">
        <v>503</v>
      </c>
      <c r="B1" t="s">
        <v>504</v>
      </c>
      <c r="C1" t="s">
        <v>505</v>
      </c>
      <c r="D1" t="s">
        <v>383</v>
      </c>
      <c r="E1" t="s">
        <v>506</v>
      </c>
      <c r="F1" t="s">
        <v>507</v>
      </c>
      <c r="G1" t="s">
        <v>508</v>
      </c>
      <c r="H1" t="s">
        <v>509</v>
      </c>
    </row>
    <row r="2" spans="1:8">
      <c r="A2" s="28">
        <v>45101</v>
      </c>
      <c r="B2" t="s">
        <v>512</v>
      </c>
      <c r="C2" t="s">
        <v>513</v>
      </c>
      <c r="D2" t="s">
        <v>514</v>
      </c>
      <c r="E2" t="s">
        <v>196</v>
      </c>
      <c r="F2">
        <v>19</v>
      </c>
      <c r="G2">
        <v>2873.83</v>
      </c>
      <c r="H2">
        <v>54602.77</v>
      </c>
    </row>
    <row r="3" spans="1:8">
      <c r="A3" s="28">
        <v>45095</v>
      </c>
      <c r="B3" t="s">
        <v>510</v>
      </c>
      <c r="C3" t="s">
        <v>524</v>
      </c>
      <c r="D3" t="s">
        <v>526</v>
      </c>
      <c r="E3" t="s">
        <v>196</v>
      </c>
      <c r="F3">
        <v>5</v>
      </c>
      <c r="G3">
        <v>3860.73</v>
      </c>
      <c r="H3">
        <v>19303.650000000001</v>
      </c>
    </row>
    <row r="4" spans="1:8">
      <c r="A4" s="28">
        <v>44996</v>
      </c>
      <c r="B4" t="s">
        <v>510</v>
      </c>
      <c r="C4" t="s">
        <v>511</v>
      </c>
      <c r="D4" t="s">
        <v>521</v>
      </c>
      <c r="E4" t="s">
        <v>196</v>
      </c>
      <c r="F4">
        <v>5</v>
      </c>
      <c r="G4">
        <v>3732.82</v>
      </c>
      <c r="H4">
        <v>18664.099999999999</v>
      </c>
    </row>
    <row r="5" spans="1:8">
      <c r="A5" s="28">
        <v>44962</v>
      </c>
      <c r="B5" t="s">
        <v>512</v>
      </c>
      <c r="C5" t="s">
        <v>515</v>
      </c>
      <c r="D5" t="s">
        <v>522</v>
      </c>
      <c r="E5" t="s">
        <v>196</v>
      </c>
      <c r="F5">
        <v>6</v>
      </c>
      <c r="G5">
        <v>2463.6799999999998</v>
      </c>
      <c r="H5">
        <v>14782.08</v>
      </c>
    </row>
    <row r="6" spans="1:8">
      <c r="A6" s="28">
        <v>45261</v>
      </c>
      <c r="B6" t="s">
        <v>510</v>
      </c>
      <c r="C6" t="s">
        <v>524</v>
      </c>
      <c r="D6" t="s">
        <v>526</v>
      </c>
      <c r="E6" t="s">
        <v>196</v>
      </c>
      <c r="F6">
        <v>1</v>
      </c>
      <c r="G6">
        <v>4557.0600000000004</v>
      </c>
      <c r="H6">
        <v>4557.0600000000004</v>
      </c>
    </row>
    <row r="7" spans="1:8">
      <c r="A7" s="28">
        <v>45058</v>
      </c>
      <c r="B7" t="s">
        <v>512</v>
      </c>
      <c r="C7" t="s">
        <v>515</v>
      </c>
      <c r="D7" t="s">
        <v>518</v>
      </c>
      <c r="E7" t="s">
        <v>180</v>
      </c>
      <c r="F7">
        <v>11</v>
      </c>
      <c r="G7">
        <v>2852.22</v>
      </c>
      <c r="H7">
        <v>31374.42</v>
      </c>
    </row>
    <row r="8" spans="1:8">
      <c r="A8" s="28">
        <v>44995</v>
      </c>
      <c r="B8" t="s">
        <v>519</v>
      </c>
      <c r="C8" t="s">
        <v>403</v>
      </c>
      <c r="D8" t="s">
        <v>520</v>
      </c>
      <c r="E8" t="s">
        <v>180</v>
      </c>
      <c r="F8">
        <v>3</v>
      </c>
      <c r="G8">
        <v>4229.84</v>
      </c>
      <c r="H8">
        <v>12689.52</v>
      </c>
    </row>
    <row r="9" spans="1:8">
      <c r="A9" s="28">
        <v>44972</v>
      </c>
      <c r="B9" t="s">
        <v>510</v>
      </c>
      <c r="C9" t="s">
        <v>524</v>
      </c>
      <c r="D9" t="s">
        <v>525</v>
      </c>
      <c r="E9" t="s">
        <v>180</v>
      </c>
      <c r="F9">
        <v>10</v>
      </c>
      <c r="G9">
        <v>843.5</v>
      </c>
      <c r="H9">
        <v>8435</v>
      </c>
    </row>
    <row r="10" spans="1:8">
      <c r="A10" s="28">
        <v>45070</v>
      </c>
      <c r="B10" t="s">
        <v>519</v>
      </c>
      <c r="C10" t="s">
        <v>403</v>
      </c>
      <c r="D10" t="s">
        <v>520</v>
      </c>
      <c r="E10" t="s">
        <v>180</v>
      </c>
      <c r="F10">
        <v>4</v>
      </c>
      <c r="G10">
        <v>1020.23</v>
      </c>
      <c r="H10">
        <v>4080.92</v>
      </c>
    </row>
    <row r="11" spans="1:8">
      <c r="A11" s="28">
        <v>45225</v>
      </c>
      <c r="B11" t="s">
        <v>519</v>
      </c>
      <c r="C11" t="s">
        <v>403</v>
      </c>
      <c r="D11" t="s">
        <v>520</v>
      </c>
      <c r="E11" t="s">
        <v>192</v>
      </c>
      <c r="F11">
        <v>16</v>
      </c>
      <c r="G11">
        <v>2178.7800000000002</v>
      </c>
      <c r="H11">
        <v>34860.480000000003</v>
      </c>
    </row>
    <row r="12" spans="1:8">
      <c r="A12" s="28">
        <v>45250</v>
      </c>
      <c r="B12" t="s">
        <v>519</v>
      </c>
      <c r="C12" t="s">
        <v>403</v>
      </c>
      <c r="D12" t="s">
        <v>520</v>
      </c>
      <c r="E12" t="s">
        <v>192</v>
      </c>
      <c r="F12">
        <v>4</v>
      </c>
      <c r="G12">
        <v>961.38</v>
      </c>
      <c r="H12">
        <v>3845.52</v>
      </c>
    </row>
    <row r="13" spans="1:8">
      <c r="A13" s="28">
        <v>45213</v>
      </c>
      <c r="B13" t="s">
        <v>519</v>
      </c>
      <c r="C13" t="s">
        <v>403</v>
      </c>
      <c r="D13" t="s">
        <v>520</v>
      </c>
      <c r="E13" t="s">
        <v>517</v>
      </c>
      <c r="F13">
        <v>14</v>
      </c>
      <c r="G13">
        <v>4457.21</v>
      </c>
      <c r="H13">
        <v>62400.94</v>
      </c>
    </row>
    <row r="14" spans="1:8">
      <c r="A14" s="28">
        <v>45236</v>
      </c>
      <c r="B14" t="s">
        <v>512</v>
      </c>
      <c r="C14" t="s">
        <v>513</v>
      </c>
      <c r="D14" t="s">
        <v>523</v>
      </c>
      <c r="E14" t="s">
        <v>517</v>
      </c>
      <c r="F14">
        <v>13</v>
      </c>
      <c r="G14">
        <v>4226.47</v>
      </c>
      <c r="H14">
        <v>54944.11</v>
      </c>
    </row>
    <row r="15" spans="1:8">
      <c r="A15" s="28">
        <v>44973</v>
      </c>
      <c r="B15" t="s">
        <v>519</v>
      </c>
      <c r="C15" t="s">
        <v>403</v>
      </c>
      <c r="D15" t="s">
        <v>520</v>
      </c>
      <c r="E15" t="s">
        <v>517</v>
      </c>
      <c r="F15">
        <v>2</v>
      </c>
      <c r="G15">
        <v>4059.61</v>
      </c>
      <c r="H15">
        <v>8119.22</v>
      </c>
    </row>
    <row r="16" spans="1:8">
      <c r="A16" s="28">
        <v>44949</v>
      </c>
      <c r="B16" t="s">
        <v>512</v>
      </c>
      <c r="C16" t="s">
        <v>515</v>
      </c>
      <c r="D16" t="s">
        <v>516</v>
      </c>
      <c r="E16" t="s">
        <v>517</v>
      </c>
      <c r="F16">
        <v>1</v>
      </c>
      <c r="G16">
        <v>267.32</v>
      </c>
      <c r="H16">
        <v>267.32</v>
      </c>
    </row>
    <row r="17" spans="1:9">
      <c r="A17" s="28">
        <v>45065</v>
      </c>
      <c r="B17" t="s">
        <v>519</v>
      </c>
      <c r="C17" t="s">
        <v>403</v>
      </c>
      <c r="D17" t="s">
        <v>520</v>
      </c>
      <c r="E17" t="s">
        <v>188</v>
      </c>
      <c r="F17">
        <v>13</v>
      </c>
      <c r="G17">
        <v>1965.63</v>
      </c>
      <c r="H17">
        <v>25553.19</v>
      </c>
    </row>
    <row r="18" spans="1:9">
      <c r="A18" s="28">
        <v>44998</v>
      </c>
      <c r="B18" t="s">
        <v>510</v>
      </c>
      <c r="C18" t="s">
        <v>511</v>
      </c>
      <c r="D18" t="s">
        <v>382</v>
      </c>
      <c r="E18" t="s">
        <v>188</v>
      </c>
      <c r="F18">
        <v>5</v>
      </c>
      <c r="G18">
        <v>4987.7</v>
      </c>
      <c r="H18">
        <v>24938.5</v>
      </c>
    </row>
    <row r="19" spans="1:9">
      <c r="A19" s="28">
        <v>45241</v>
      </c>
      <c r="B19" t="s">
        <v>510</v>
      </c>
      <c r="C19" t="s">
        <v>511</v>
      </c>
      <c r="D19" t="s">
        <v>382</v>
      </c>
      <c r="E19" t="s">
        <v>188</v>
      </c>
      <c r="F19">
        <v>3</v>
      </c>
      <c r="G19">
        <v>4210.7700000000004</v>
      </c>
      <c r="H19">
        <v>12632.31</v>
      </c>
    </row>
    <row r="20" spans="1:9">
      <c r="A20" s="28">
        <v>45260</v>
      </c>
      <c r="B20" t="s">
        <v>512</v>
      </c>
      <c r="C20" t="s">
        <v>515</v>
      </c>
      <c r="D20" t="s">
        <v>518</v>
      </c>
      <c r="E20" t="s">
        <v>188</v>
      </c>
      <c r="F20">
        <v>9</v>
      </c>
      <c r="G20">
        <v>1378.65</v>
      </c>
      <c r="H20">
        <v>12407.85</v>
      </c>
    </row>
    <row r="21" spans="1:9">
      <c r="A21" s="28">
        <v>45289</v>
      </c>
      <c r="B21" t="s">
        <v>519</v>
      </c>
      <c r="C21" t="s">
        <v>403</v>
      </c>
      <c r="D21" t="s">
        <v>520</v>
      </c>
      <c r="E21" t="s">
        <v>188</v>
      </c>
      <c r="F21">
        <v>9</v>
      </c>
      <c r="G21">
        <v>1161.02</v>
      </c>
      <c r="H21">
        <v>10449.18</v>
      </c>
    </row>
    <row r="22" spans="1:9">
      <c r="A22" s="28">
        <v>45226</v>
      </c>
      <c r="B22" t="s">
        <v>510</v>
      </c>
      <c r="C22" t="s">
        <v>524</v>
      </c>
      <c r="D22" t="s">
        <v>525</v>
      </c>
      <c r="E22" t="s">
        <v>188</v>
      </c>
      <c r="F22">
        <v>11</v>
      </c>
      <c r="G22">
        <v>255.3</v>
      </c>
      <c r="H22">
        <v>2808.3</v>
      </c>
    </row>
    <row r="23" spans="1:9" ht="25.8">
      <c r="C23" s="20" t="s">
        <v>528</v>
      </c>
    </row>
    <row r="24" spans="1:9">
      <c r="C24" s="24" t="s">
        <v>536</v>
      </c>
    </row>
    <row r="26" spans="1:9" ht="25.8">
      <c r="C26" s="20" t="s">
        <v>538</v>
      </c>
    </row>
    <row r="28" spans="1:9">
      <c r="A28" t="s">
        <v>539</v>
      </c>
    </row>
    <row r="29" spans="1:9">
      <c r="A29" t="s">
        <v>540</v>
      </c>
    </row>
    <row r="30" spans="1:9">
      <c r="A30" t="s">
        <v>503</v>
      </c>
      <c r="B30" t="s">
        <v>504</v>
      </c>
      <c r="C30" t="s">
        <v>505</v>
      </c>
      <c r="D30" t="s">
        <v>383</v>
      </c>
      <c r="E30" t="s">
        <v>506</v>
      </c>
      <c r="F30" t="s">
        <v>507</v>
      </c>
      <c r="G30" t="s">
        <v>508</v>
      </c>
      <c r="H30" t="s">
        <v>509</v>
      </c>
      <c r="I30" t="s">
        <v>541</v>
      </c>
    </row>
  </sheetData>
  <autoFilter ref="A1:H22" xr:uid="{6F5714C7-EF0D-481F-AED2-586BDE03E60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A79E6-F1FE-4F45-8F8F-AA0EDF4FD85E}">
  <sheetPr codeName="Sheet14"/>
  <dimension ref="A1:Z82"/>
  <sheetViews>
    <sheetView topLeftCell="F1" workbookViewId="0">
      <selection activeCell="Q3" sqref="Q3"/>
    </sheetView>
  </sheetViews>
  <sheetFormatPr defaultRowHeight="14.4"/>
  <cols>
    <col min="1" max="1" width="55.6640625" hidden="1" customWidth="1"/>
    <col min="2" max="2" width="12" customWidth="1"/>
    <col min="3" max="3" width="16" customWidth="1"/>
    <col min="4" max="4" width="12.5546875" customWidth="1"/>
    <col min="5" max="5" width="21.6640625" customWidth="1"/>
    <col min="6" max="6" width="11.33203125" customWidth="1"/>
    <col min="7" max="7" width="15.6640625" customWidth="1"/>
    <col min="8" max="8" width="12.6640625" customWidth="1"/>
    <col min="9" max="9" width="11.77734375" customWidth="1"/>
    <col min="10" max="10" width="12.44140625" customWidth="1"/>
    <col min="11" max="11" width="11.21875" customWidth="1"/>
    <col min="14" max="14" width="12.77734375" customWidth="1"/>
    <col min="15" max="15" width="8.88671875" customWidth="1"/>
    <col min="16" max="16" width="15.109375" customWidth="1"/>
    <col min="18" max="18" width="30.6640625" customWidth="1"/>
    <col min="22" max="22" width="15.77734375" customWidth="1"/>
    <col min="23" max="23" width="13.77734375" customWidth="1"/>
    <col min="25" max="25" width="12.44140625" customWidth="1"/>
  </cols>
  <sheetData>
    <row r="1" spans="1:25" ht="18">
      <c r="A1" s="76" t="s">
        <v>576</v>
      </c>
      <c r="B1" s="76"/>
      <c r="C1" s="76"/>
      <c r="D1" s="76"/>
      <c r="E1" s="76"/>
      <c r="F1" s="76"/>
      <c r="P1" s="76" t="s">
        <v>577</v>
      </c>
      <c r="Q1" s="76"/>
      <c r="R1" s="76"/>
    </row>
    <row r="2" spans="1:25">
      <c r="B2" s="24" t="s">
        <v>503</v>
      </c>
      <c r="C2" s="24" t="s">
        <v>542</v>
      </c>
      <c r="D2" s="24" t="s">
        <v>383</v>
      </c>
      <c r="E2" s="24" t="s">
        <v>505</v>
      </c>
      <c r="F2" s="24" t="s">
        <v>504</v>
      </c>
      <c r="G2" s="24" t="s">
        <v>543</v>
      </c>
      <c r="H2" s="24" t="s">
        <v>175</v>
      </c>
      <c r="I2" s="24" t="s">
        <v>507</v>
      </c>
      <c r="J2" s="24" t="s">
        <v>508</v>
      </c>
      <c r="K2" s="24" t="s">
        <v>509</v>
      </c>
      <c r="M2" s="24"/>
      <c r="N2" s="24"/>
      <c r="O2" s="24"/>
      <c r="P2" s="28" cm="1">
        <f t="array" ref="P2:Y24">_xlfn._xlws.SORT(B3:K25,2,1)</f>
        <v>45047</v>
      </c>
      <c r="Q2" t="str">
        <v>Aarav</v>
      </c>
      <c r="R2" t="str">
        <v>Mysuru</v>
      </c>
      <c r="S2" t="str">
        <v>Karnataka</v>
      </c>
      <c r="T2" t="str">
        <v>South</v>
      </c>
      <c r="U2" t="str">
        <v>Electronics</v>
      </c>
      <c r="V2" t="str">
        <v>Headphones</v>
      </c>
      <c r="W2">
        <v>5</v>
      </c>
      <c r="X2">
        <v>2196.9899999999998</v>
      </c>
      <c r="Y2">
        <v>10984.95</v>
      </c>
    </row>
    <row r="3" spans="1:25">
      <c r="B3" s="28">
        <v>45102</v>
      </c>
      <c r="C3" t="s">
        <v>544</v>
      </c>
      <c r="D3" t="s">
        <v>521</v>
      </c>
      <c r="E3" t="s">
        <v>511</v>
      </c>
      <c r="F3" t="s">
        <v>510</v>
      </c>
      <c r="G3" t="s">
        <v>192</v>
      </c>
      <c r="H3" t="s">
        <v>545</v>
      </c>
      <c r="I3">
        <v>6</v>
      </c>
      <c r="J3">
        <v>4016.25</v>
      </c>
      <c r="K3">
        <v>24097.5</v>
      </c>
      <c r="P3" s="28">
        <v>45037</v>
      </c>
      <c r="Q3" t="str">
        <v>Aarav</v>
      </c>
      <c r="R3" t="str">
        <v>Mysuru</v>
      </c>
      <c r="S3" t="str">
        <v>Karnataka</v>
      </c>
      <c r="T3" t="str">
        <v>South</v>
      </c>
      <c r="U3" t="str">
        <v>Clothing</v>
      </c>
      <c r="V3" t="str">
        <v>Pants</v>
      </c>
      <c r="W3">
        <v>19</v>
      </c>
      <c r="X3">
        <v>4562.0200000000004</v>
      </c>
      <c r="Y3">
        <v>86678.38</v>
      </c>
    </row>
    <row r="4" spans="1:25">
      <c r="B4" s="28">
        <v>45231</v>
      </c>
      <c r="C4" t="s">
        <v>546</v>
      </c>
      <c r="D4" t="s">
        <v>522</v>
      </c>
      <c r="E4" t="s">
        <v>515</v>
      </c>
      <c r="F4" t="s">
        <v>512</v>
      </c>
      <c r="G4" t="s">
        <v>188</v>
      </c>
      <c r="H4" t="s">
        <v>547</v>
      </c>
      <c r="I4">
        <v>9</v>
      </c>
      <c r="J4">
        <v>3801.85</v>
      </c>
      <c r="K4">
        <v>34216.65</v>
      </c>
      <c r="P4" s="28">
        <v>45258</v>
      </c>
      <c r="Q4" t="str">
        <v>Aarav</v>
      </c>
      <c r="R4" t="str">
        <v>Dwarka</v>
      </c>
      <c r="S4" t="str">
        <v>Delhi</v>
      </c>
      <c r="T4" t="str">
        <v>North</v>
      </c>
      <c r="U4" t="str">
        <v>Clothing</v>
      </c>
      <c r="V4" t="str">
        <v>Shirt</v>
      </c>
      <c r="W4">
        <v>9</v>
      </c>
      <c r="X4">
        <v>2634.14</v>
      </c>
      <c r="Y4">
        <v>23707.26</v>
      </c>
    </row>
    <row r="5" spans="1:25">
      <c r="B5" s="28">
        <v>45022</v>
      </c>
      <c r="C5" t="s">
        <v>548</v>
      </c>
      <c r="D5" t="s">
        <v>549</v>
      </c>
      <c r="E5" t="s">
        <v>513</v>
      </c>
      <c r="F5" t="s">
        <v>512</v>
      </c>
      <c r="G5" t="s">
        <v>188</v>
      </c>
      <c r="H5" t="s">
        <v>547</v>
      </c>
      <c r="I5">
        <v>11</v>
      </c>
      <c r="J5">
        <v>3594.07</v>
      </c>
      <c r="K5">
        <v>39534.769999999997</v>
      </c>
      <c r="P5" s="28">
        <v>45145</v>
      </c>
      <c r="Q5" t="str">
        <v>Aditi</v>
      </c>
      <c r="R5" t="str">
        <v>Mumbai</v>
      </c>
      <c r="S5" t="str">
        <v>Maharashtra</v>
      </c>
      <c r="T5" t="str">
        <v>West</v>
      </c>
      <c r="U5" t="str">
        <v>Groceries</v>
      </c>
      <c r="V5" t="str">
        <v>Lentils</v>
      </c>
      <c r="W5">
        <v>17</v>
      </c>
      <c r="X5">
        <v>1240.77</v>
      </c>
      <c r="Y5">
        <v>21093.09</v>
      </c>
    </row>
    <row r="6" spans="1:25">
      <c r="B6" s="28">
        <v>45214</v>
      </c>
      <c r="C6" t="s">
        <v>546</v>
      </c>
      <c r="D6" t="s">
        <v>518</v>
      </c>
      <c r="E6" t="s">
        <v>515</v>
      </c>
      <c r="F6" t="s">
        <v>512</v>
      </c>
      <c r="G6" t="s">
        <v>196</v>
      </c>
      <c r="H6" t="s">
        <v>550</v>
      </c>
      <c r="I6">
        <v>9</v>
      </c>
      <c r="J6">
        <v>4487</v>
      </c>
      <c r="K6">
        <v>40383</v>
      </c>
      <c r="P6" s="28">
        <v>45079</v>
      </c>
      <c r="Q6" t="str">
        <v>Aditi</v>
      </c>
      <c r="R6" t="str">
        <v>Pune</v>
      </c>
      <c r="S6" t="str">
        <v>Maharashtra</v>
      </c>
      <c r="T6" t="str">
        <v>West</v>
      </c>
      <c r="U6" t="str">
        <v>Furniture</v>
      </c>
      <c r="V6" t="str">
        <v>Table</v>
      </c>
      <c r="W6">
        <v>11</v>
      </c>
      <c r="X6">
        <v>4509.49</v>
      </c>
      <c r="Y6">
        <v>49604.39</v>
      </c>
    </row>
    <row r="7" spans="1:25">
      <c r="B7" s="28">
        <v>45145</v>
      </c>
      <c r="C7" t="s">
        <v>551</v>
      </c>
      <c r="D7" t="s">
        <v>382</v>
      </c>
      <c r="E7" t="s">
        <v>511</v>
      </c>
      <c r="F7" t="s">
        <v>510</v>
      </c>
      <c r="G7" t="s">
        <v>517</v>
      </c>
      <c r="H7" t="s">
        <v>552</v>
      </c>
      <c r="I7">
        <v>17</v>
      </c>
      <c r="J7">
        <v>1240.77</v>
      </c>
      <c r="K7">
        <v>21093.09</v>
      </c>
      <c r="P7" s="28">
        <v>45044</v>
      </c>
      <c r="Q7" t="str">
        <v>Aditi</v>
      </c>
      <c r="R7" t="str">
        <v>Coimbatore</v>
      </c>
      <c r="S7" t="str">
        <v>Tamil Nadu</v>
      </c>
      <c r="T7" t="str">
        <v>South</v>
      </c>
      <c r="U7" t="str">
        <v>Stationery</v>
      </c>
      <c r="V7" t="str">
        <v>Ruler</v>
      </c>
      <c r="W7">
        <v>18</v>
      </c>
      <c r="X7">
        <v>698.42</v>
      </c>
      <c r="Y7">
        <v>12571.56</v>
      </c>
    </row>
    <row r="8" spans="1:25">
      <c r="B8" s="28">
        <v>45283</v>
      </c>
      <c r="C8" t="s">
        <v>553</v>
      </c>
      <c r="D8" t="s">
        <v>516</v>
      </c>
      <c r="E8" t="s">
        <v>515</v>
      </c>
      <c r="F8" t="s">
        <v>512</v>
      </c>
      <c r="G8" t="s">
        <v>188</v>
      </c>
      <c r="H8" t="s">
        <v>554</v>
      </c>
      <c r="I8">
        <v>7</v>
      </c>
      <c r="J8">
        <v>4772.29</v>
      </c>
      <c r="K8">
        <v>33406.03</v>
      </c>
      <c r="P8" s="28">
        <v>45073</v>
      </c>
      <c r="Q8" t="str">
        <v>Ananya</v>
      </c>
      <c r="R8" t="str">
        <v>Nagpur</v>
      </c>
      <c r="S8" t="str">
        <v>Maharashtra</v>
      </c>
      <c r="T8" t="str">
        <v>West</v>
      </c>
      <c r="U8" t="str">
        <v>Clothing</v>
      </c>
      <c r="V8" t="str">
        <v>Pants</v>
      </c>
      <c r="W8">
        <v>7</v>
      </c>
      <c r="X8">
        <v>1257.3399999999999</v>
      </c>
      <c r="Y8">
        <v>8801.3799999999992</v>
      </c>
    </row>
    <row r="9" spans="1:25">
      <c r="B9" s="28">
        <v>45047</v>
      </c>
      <c r="C9" t="s">
        <v>555</v>
      </c>
      <c r="D9" t="s">
        <v>514</v>
      </c>
      <c r="E9" t="s">
        <v>513</v>
      </c>
      <c r="F9" t="s">
        <v>512</v>
      </c>
      <c r="G9" t="s">
        <v>180</v>
      </c>
      <c r="H9" t="s">
        <v>135</v>
      </c>
      <c r="I9">
        <v>5</v>
      </c>
      <c r="J9">
        <v>2196.9899999999998</v>
      </c>
      <c r="K9">
        <v>10984.95</v>
      </c>
      <c r="P9" s="28">
        <v>44952</v>
      </c>
      <c r="Q9" t="str">
        <v>Aryan</v>
      </c>
      <c r="R9" t="str">
        <v>Ahmedabad</v>
      </c>
      <c r="S9" t="str">
        <v>Gujarat</v>
      </c>
      <c r="T9" t="str">
        <v>West</v>
      </c>
      <c r="U9" t="str">
        <v>Clothing</v>
      </c>
      <c r="V9" t="str">
        <v>Shirt</v>
      </c>
      <c r="W9">
        <v>20</v>
      </c>
      <c r="X9">
        <v>1027.53</v>
      </c>
      <c r="Y9">
        <v>20550.599999999999</v>
      </c>
    </row>
    <row r="10" spans="1:25" ht="21">
      <c r="B10" s="28">
        <v>45283</v>
      </c>
      <c r="C10" t="s">
        <v>556</v>
      </c>
      <c r="D10" t="s">
        <v>525</v>
      </c>
      <c r="E10" t="s">
        <v>524</v>
      </c>
      <c r="F10" t="s">
        <v>510</v>
      </c>
      <c r="G10" t="s">
        <v>196</v>
      </c>
      <c r="H10" t="s">
        <v>550</v>
      </c>
      <c r="I10">
        <v>5</v>
      </c>
      <c r="J10">
        <v>967.6</v>
      </c>
      <c r="K10">
        <v>4838</v>
      </c>
      <c r="M10" s="18"/>
      <c r="N10" s="18"/>
      <c r="P10" s="28">
        <v>45283</v>
      </c>
      <c r="Q10" t="str">
        <v>Ishita</v>
      </c>
      <c r="R10" t="str">
        <v>Chennai</v>
      </c>
      <c r="S10" t="str">
        <v>Tamil Nadu</v>
      </c>
      <c r="T10" t="str">
        <v>South</v>
      </c>
      <c r="U10" t="str">
        <v>Stationery</v>
      </c>
      <c r="V10" t="str">
        <v>Eraser</v>
      </c>
      <c r="W10">
        <v>7</v>
      </c>
      <c r="X10">
        <v>4772.29</v>
      </c>
      <c r="Y10">
        <v>33406.03</v>
      </c>
    </row>
    <row r="11" spans="1:25">
      <c r="B11" s="28">
        <v>45222</v>
      </c>
      <c r="C11" t="s">
        <v>546</v>
      </c>
      <c r="D11" t="s">
        <v>518</v>
      </c>
      <c r="E11" t="s">
        <v>515</v>
      </c>
      <c r="F11" t="s">
        <v>512</v>
      </c>
      <c r="G11" t="s">
        <v>188</v>
      </c>
      <c r="H11" t="s">
        <v>547</v>
      </c>
      <c r="I11">
        <v>18</v>
      </c>
      <c r="J11">
        <v>3128.59</v>
      </c>
      <c r="K11">
        <v>56314.62</v>
      </c>
      <c r="P11" s="28">
        <v>44938</v>
      </c>
      <c r="Q11" t="str">
        <v>Ishita</v>
      </c>
      <c r="R11" t="str">
        <v>Mumbai</v>
      </c>
      <c r="S11" t="str">
        <v>Maharashtra</v>
      </c>
      <c r="T11" t="str">
        <v>West</v>
      </c>
      <c r="U11" t="str">
        <v>Stationery</v>
      </c>
      <c r="V11" t="str">
        <v>Eraser</v>
      </c>
      <c r="W11">
        <v>6</v>
      </c>
      <c r="X11">
        <v>4231.7700000000004</v>
      </c>
      <c r="Y11">
        <v>25390.62</v>
      </c>
    </row>
    <row r="12" spans="1:25">
      <c r="B12" s="28">
        <v>45247</v>
      </c>
      <c r="C12" t="s">
        <v>548</v>
      </c>
      <c r="D12" t="s">
        <v>516</v>
      </c>
      <c r="E12" t="s">
        <v>515</v>
      </c>
      <c r="F12" t="s">
        <v>512</v>
      </c>
      <c r="G12" t="s">
        <v>192</v>
      </c>
      <c r="H12" t="s">
        <v>545</v>
      </c>
      <c r="I12">
        <v>10</v>
      </c>
      <c r="J12">
        <v>2754.3</v>
      </c>
      <c r="K12">
        <v>27543</v>
      </c>
      <c r="P12" s="28">
        <v>44981</v>
      </c>
      <c r="Q12" t="str">
        <v>Ishita</v>
      </c>
      <c r="R12" t="str">
        <v>Surat</v>
      </c>
      <c r="S12" t="str">
        <v>Gujarat</v>
      </c>
      <c r="T12" t="str">
        <v>West</v>
      </c>
      <c r="U12" t="str">
        <v>Groceries</v>
      </c>
      <c r="V12" t="str">
        <v>Rice</v>
      </c>
      <c r="W12">
        <v>3</v>
      </c>
      <c r="X12">
        <v>2738.83</v>
      </c>
      <c r="Y12">
        <v>8216.49</v>
      </c>
    </row>
    <row r="13" spans="1:25">
      <c r="B13" s="28">
        <v>44972</v>
      </c>
      <c r="C13" t="s">
        <v>546</v>
      </c>
      <c r="D13" t="s">
        <v>525</v>
      </c>
      <c r="E13" t="s">
        <v>524</v>
      </c>
      <c r="F13" t="s">
        <v>510</v>
      </c>
      <c r="G13" t="s">
        <v>180</v>
      </c>
      <c r="H13" t="s">
        <v>138</v>
      </c>
      <c r="I13">
        <v>19</v>
      </c>
      <c r="J13">
        <v>4896.3100000000004</v>
      </c>
      <c r="K13">
        <v>93029.89</v>
      </c>
      <c r="P13" s="28">
        <v>44974</v>
      </c>
      <c r="Q13" t="str">
        <v>Ishita</v>
      </c>
      <c r="R13" t="str">
        <v>Nagpur</v>
      </c>
      <c r="S13" t="str">
        <v>Maharashtra</v>
      </c>
      <c r="T13" t="str">
        <v>West</v>
      </c>
      <c r="U13" t="str">
        <v>Clothing</v>
      </c>
      <c r="V13" t="str">
        <v>Dress</v>
      </c>
      <c r="W13">
        <v>10</v>
      </c>
      <c r="X13">
        <v>4247.74</v>
      </c>
      <c r="Y13">
        <v>42477.4</v>
      </c>
    </row>
    <row r="14" spans="1:25">
      <c r="B14" s="28">
        <v>45037</v>
      </c>
      <c r="C14" t="s">
        <v>555</v>
      </c>
      <c r="D14" t="s">
        <v>514</v>
      </c>
      <c r="E14" t="s">
        <v>513</v>
      </c>
      <c r="F14" t="s">
        <v>512</v>
      </c>
      <c r="G14" t="s">
        <v>196</v>
      </c>
      <c r="H14" t="s">
        <v>557</v>
      </c>
      <c r="I14">
        <v>19</v>
      </c>
      <c r="J14">
        <v>4562.0200000000004</v>
      </c>
      <c r="K14">
        <v>86678.38</v>
      </c>
      <c r="P14" s="28">
        <v>44976</v>
      </c>
      <c r="Q14" t="str">
        <v>Kabir</v>
      </c>
      <c r="R14" t="str">
        <v>Karol Bagh</v>
      </c>
      <c r="S14" t="str">
        <v>Delhi</v>
      </c>
      <c r="T14" t="str">
        <v>North</v>
      </c>
      <c r="U14" t="str">
        <v>Electronics</v>
      </c>
      <c r="V14" t="str">
        <v>Laptop</v>
      </c>
      <c r="W14">
        <v>6</v>
      </c>
      <c r="X14">
        <v>623.22</v>
      </c>
      <c r="Y14">
        <v>3739.32</v>
      </c>
    </row>
    <row r="15" spans="1:25">
      <c r="B15" s="28">
        <v>44938</v>
      </c>
      <c r="C15" t="s">
        <v>553</v>
      </c>
      <c r="D15" t="s">
        <v>382</v>
      </c>
      <c r="E15" t="s">
        <v>511</v>
      </c>
      <c r="F15" t="s">
        <v>510</v>
      </c>
      <c r="G15" t="s">
        <v>188</v>
      </c>
      <c r="H15" t="s">
        <v>554</v>
      </c>
      <c r="I15">
        <v>6</v>
      </c>
      <c r="J15">
        <v>4231.7700000000004</v>
      </c>
      <c r="K15">
        <v>25390.62</v>
      </c>
      <c r="P15" s="28">
        <v>45102</v>
      </c>
      <c r="Q15" t="str">
        <v>Meera</v>
      </c>
      <c r="R15" t="str">
        <v>Nagpur</v>
      </c>
      <c r="S15" t="str">
        <v>Maharashtra</v>
      </c>
      <c r="T15" t="str">
        <v>West</v>
      </c>
      <c r="U15" t="str">
        <v>Furniture</v>
      </c>
      <c r="V15" t="str">
        <v>Table</v>
      </c>
      <c r="W15">
        <v>6</v>
      </c>
      <c r="X15">
        <v>4016.25</v>
      </c>
      <c r="Y15">
        <v>24097.5</v>
      </c>
    </row>
    <row r="16" spans="1:25">
      <c r="B16" s="28">
        <v>44952</v>
      </c>
      <c r="C16" t="s">
        <v>558</v>
      </c>
      <c r="D16" t="s">
        <v>525</v>
      </c>
      <c r="E16" t="s">
        <v>524</v>
      </c>
      <c r="F16" t="s">
        <v>510</v>
      </c>
      <c r="G16" t="s">
        <v>196</v>
      </c>
      <c r="H16" t="s">
        <v>559</v>
      </c>
      <c r="I16">
        <v>20</v>
      </c>
      <c r="J16">
        <v>1027.53</v>
      </c>
      <c r="K16">
        <v>20550.599999999999</v>
      </c>
      <c r="P16" s="28">
        <v>45022</v>
      </c>
      <c r="Q16" t="str">
        <v>Nishant</v>
      </c>
      <c r="R16" t="str">
        <v>Bengaluru</v>
      </c>
      <c r="S16" t="str">
        <v>Karnataka</v>
      </c>
      <c r="T16" t="str">
        <v>South</v>
      </c>
      <c r="U16" t="str">
        <v>Stationery</v>
      </c>
      <c r="V16" t="str">
        <v>Ruler</v>
      </c>
      <c r="W16">
        <v>11</v>
      </c>
      <c r="X16">
        <v>3594.07</v>
      </c>
      <c r="Y16">
        <v>39534.769999999997</v>
      </c>
    </row>
    <row r="17" spans="2:25">
      <c r="B17" s="28">
        <v>45073</v>
      </c>
      <c r="C17" t="s">
        <v>560</v>
      </c>
      <c r="D17" t="s">
        <v>521</v>
      </c>
      <c r="E17" t="s">
        <v>511</v>
      </c>
      <c r="F17" t="s">
        <v>510</v>
      </c>
      <c r="G17" t="s">
        <v>196</v>
      </c>
      <c r="H17" t="s">
        <v>557</v>
      </c>
      <c r="I17">
        <v>7</v>
      </c>
      <c r="J17">
        <v>1257.3399999999999</v>
      </c>
      <c r="K17">
        <v>8801.3799999999992</v>
      </c>
      <c r="P17" s="28">
        <v>45247</v>
      </c>
      <c r="Q17" t="str">
        <v>Nishant</v>
      </c>
      <c r="R17" t="str">
        <v>Chennai</v>
      </c>
      <c r="S17" t="str">
        <v>Tamil Nadu</v>
      </c>
      <c r="T17" t="str">
        <v>South</v>
      </c>
      <c r="U17" t="str">
        <v>Furniture</v>
      </c>
      <c r="V17" t="str">
        <v>Table</v>
      </c>
      <c r="W17">
        <v>10</v>
      </c>
      <c r="X17">
        <v>2754.3</v>
      </c>
      <c r="Y17">
        <v>27543</v>
      </c>
    </row>
    <row r="18" spans="2:25">
      <c r="B18" s="28">
        <v>45258</v>
      </c>
      <c r="C18" t="s">
        <v>555</v>
      </c>
      <c r="D18" t="s">
        <v>561</v>
      </c>
      <c r="E18" t="s">
        <v>403</v>
      </c>
      <c r="F18" t="s">
        <v>519</v>
      </c>
      <c r="G18" t="s">
        <v>196</v>
      </c>
      <c r="H18" t="s">
        <v>559</v>
      </c>
      <c r="I18">
        <v>9</v>
      </c>
      <c r="J18">
        <v>2634.14</v>
      </c>
      <c r="K18">
        <v>23707.26</v>
      </c>
      <c r="P18" s="28">
        <v>44972</v>
      </c>
      <c r="Q18" t="str">
        <v>Nishant</v>
      </c>
      <c r="R18" t="str">
        <v>Mysuru</v>
      </c>
      <c r="S18" t="str">
        <v>Karnataka</v>
      </c>
      <c r="T18" t="str">
        <v>South</v>
      </c>
      <c r="U18" t="str">
        <v>Stationery</v>
      </c>
      <c r="V18" t="str">
        <v>Eraser</v>
      </c>
      <c r="W18">
        <v>3</v>
      </c>
      <c r="X18">
        <v>1133.19</v>
      </c>
      <c r="Y18">
        <v>3399.57</v>
      </c>
    </row>
    <row r="19" spans="2:25">
      <c r="B19" s="28">
        <v>45079</v>
      </c>
      <c r="C19" t="s">
        <v>551</v>
      </c>
      <c r="D19" t="s">
        <v>384</v>
      </c>
      <c r="E19" t="s">
        <v>511</v>
      </c>
      <c r="F19" t="s">
        <v>510</v>
      </c>
      <c r="G19" t="s">
        <v>192</v>
      </c>
      <c r="H19" t="s">
        <v>545</v>
      </c>
      <c r="I19">
        <v>11</v>
      </c>
      <c r="J19">
        <v>4509.49</v>
      </c>
      <c r="K19">
        <v>49604.39</v>
      </c>
      <c r="P19" s="28">
        <v>45283</v>
      </c>
      <c r="Q19" t="str">
        <v>Riya</v>
      </c>
      <c r="R19" t="str">
        <v>Ahmedabad</v>
      </c>
      <c r="S19" t="str">
        <v>Gujarat</v>
      </c>
      <c r="T19" t="str">
        <v>West</v>
      </c>
      <c r="U19" t="str">
        <v>Clothing</v>
      </c>
      <c r="V19" t="str">
        <v>Dress</v>
      </c>
      <c r="W19">
        <v>5</v>
      </c>
      <c r="X19">
        <v>967.6</v>
      </c>
      <c r="Y19">
        <v>4838</v>
      </c>
    </row>
    <row r="20" spans="2:25">
      <c r="B20" s="28">
        <v>44981</v>
      </c>
      <c r="C20" t="s">
        <v>553</v>
      </c>
      <c r="D20" t="s">
        <v>385</v>
      </c>
      <c r="E20" t="s">
        <v>524</v>
      </c>
      <c r="F20" t="s">
        <v>510</v>
      </c>
      <c r="G20" t="s">
        <v>517</v>
      </c>
      <c r="H20" t="s">
        <v>562</v>
      </c>
      <c r="I20">
        <v>3</v>
      </c>
      <c r="J20">
        <v>2738.83</v>
      </c>
      <c r="K20">
        <v>8216.49</v>
      </c>
      <c r="P20" s="28">
        <v>45266</v>
      </c>
      <c r="Q20" t="str">
        <v>Riya</v>
      </c>
      <c r="R20" t="str">
        <v>Hubli</v>
      </c>
      <c r="S20" t="str">
        <v>Karnataka</v>
      </c>
      <c r="T20" t="str">
        <v>South</v>
      </c>
      <c r="U20" t="str">
        <v>Groceries</v>
      </c>
      <c r="V20" t="str">
        <v>Sugar</v>
      </c>
      <c r="W20">
        <v>19</v>
      </c>
      <c r="X20">
        <v>2494.11</v>
      </c>
      <c r="Y20">
        <v>47388.09</v>
      </c>
    </row>
    <row r="21" spans="2:25">
      <c r="B21" s="28">
        <v>44974</v>
      </c>
      <c r="C21" t="s">
        <v>553</v>
      </c>
      <c r="D21" t="s">
        <v>521</v>
      </c>
      <c r="E21" t="s">
        <v>511</v>
      </c>
      <c r="F21" t="s">
        <v>510</v>
      </c>
      <c r="G21" t="s">
        <v>196</v>
      </c>
      <c r="H21" t="s">
        <v>550</v>
      </c>
      <c r="I21">
        <v>10</v>
      </c>
      <c r="J21">
        <v>4247.74</v>
      </c>
      <c r="K21">
        <v>42477.4</v>
      </c>
      <c r="P21" s="28">
        <v>45231</v>
      </c>
      <c r="Q21" t="str">
        <v>Vihaan</v>
      </c>
      <c r="R21" t="str">
        <v>Coimbatore</v>
      </c>
      <c r="S21" t="str">
        <v>Tamil Nadu</v>
      </c>
      <c r="T21" t="str">
        <v>South</v>
      </c>
      <c r="U21" t="str">
        <v>Stationery</v>
      </c>
      <c r="V21" t="str">
        <v>Ruler</v>
      </c>
      <c r="W21">
        <v>9</v>
      </c>
      <c r="X21">
        <v>3801.85</v>
      </c>
      <c r="Y21">
        <v>34216.65</v>
      </c>
    </row>
    <row r="22" spans="2:25">
      <c r="B22" s="28">
        <v>44972</v>
      </c>
      <c r="C22" t="s">
        <v>548</v>
      </c>
      <c r="D22" t="s">
        <v>514</v>
      </c>
      <c r="E22" t="s">
        <v>513</v>
      </c>
      <c r="F22" t="s">
        <v>512</v>
      </c>
      <c r="G22" t="s">
        <v>188</v>
      </c>
      <c r="H22" t="s">
        <v>554</v>
      </c>
      <c r="I22">
        <v>3</v>
      </c>
      <c r="J22">
        <v>1133.19</v>
      </c>
      <c r="K22">
        <v>3399.57</v>
      </c>
      <c r="P22" s="28">
        <v>45214</v>
      </c>
      <c r="Q22" t="str">
        <v>Vihaan</v>
      </c>
      <c r="R22" t="str">
        <v>Madurai</v>
      </c>
      <c r="S22" t="str">
        <v>Tamil Nadu</v>
      </c>
      <c r="T22" t="str">
        <v>South</v>
      </c>
      <c r="U22" t="str">
        <v>Clothing</v>
      </c>
      <c r="V22" t="str">
        <v>Dress</v>
      </c>
      <c r="W22">
        <v>9</v>
      </c>
      <c r="X22">
        <v>4487</v>
      </c>
      <c r="Y22">
        <v>40383</v>
      </c>
    </row>
    <row r="23" spans="2:25">
      <c r="B23" s="28">
        <v>44976</v>
      </c>
      <c r="C23" t="s">
        <v>563</v>
      </c>
      <c r="D23" t="s">
        <v>564</v>
      </c>
      <c r="E23" t="s">
        <v>403</v>
      </c>
      <c r="F23" t="s">
        <v>519</v>
      </c>
      <c r="G23" t="s">
        <v>180</v>
      </c>
      <c r="H23" t="s">
        <v>138</v>
      </c>
      <c r="I23">
        <v>6</v>
      </c>
      <c r="J23">
        <v>623.22</v>
      </c>
      <c r="K23">
        <v>3739.32</v>
      </c>
      <c r="P23" s="28">
        <v>45222</v>
      </c>
      <c r="Q23" t="str">
        <v>Vihaan</v>
      </c>
      <c r="R23" t="str">
        <v>Madurai</v>
      </c>
      <c r="S23" t="str">
        <v>Tamil Nadu</v>
      </c>
      <c r="T23" t="str">
        <v>South</v>
      </c>
      <c r="U23" t="str">
        <v>Stationery</v>
      </c>
      <c r="V23" t="str">
        <v>Ruler</v>
      </c>
      <c r="W23">
        <v>18</v>
      </c>
      <c r="X23">
        <v>3128.59</v>
      </c>
      <c r="Y23">
        <v>56314.62</v>
      </c>
    </row>
    <row r="24" spans="2:25">
      <c r="B24" s="28">
        <v>45044</v>
      </c>
      <c r="C24" t="s">
        <v>551</v>
      </c>
      <c r="D24" t="s">
        <v>522</v>
      </c>
      <c r="E24" t="s">
        <v>515</v>
      </c>
      <c r="F24" t="s">
        <v>512</v>
      </c>
      <c r="G24" t="s">
        <v>188</v>
      </c>
      <c r="H24" t="s">
        <v>547</v>
      </c>
      <c r="I24">
        <v>18</v>
      </c>
      <c r="J24">
        <v>698.42</v>
      </c>
      <c r="K24">
        <v>12571.56</v>
      </c>
      <c r="P24" s="28">
        <v>44972</v>
      </c>
      <c r="Q24" t="str">
        <v>Vihaan</v>
      </c>
      <c r="R24" t="str">
        <v>Ahmedabad</v>
      </c>
      <c r="S24" t="str">
        <v>Gujarat</v>
      </c>
      <c r="T24" t="str">
        <v>West</v>
      </c>
      <c r="U24" t="str">
        <v>Electronics</v>
      </c>
      <c r="V24" t="str">
        <v>Laptop</v>
      </c>
      <c r="W24">
        <v>19</v>
      </c>
      <c r="X24">
        <v>4896.3100000000004</v>
      </c>
      <c r="Y24">
        <v>93029.89</v>
      </c>
    </row>
    <row r="25" spans="2:25">
      <c r="B25" s="28">
        <v>45266</v>
      </c>
      <c r="C25" t="s">
        <v>556</v>
      </c>
      <c r="D25" t="s">
        <v>523</v>
      </c>
      <c r="E25" t="s">
        <v>513</v>
      </c>
      <c r="F25" t="s">
        <v>512</v>
      </c>
      <c r="G25" t="s">
        <v>517</v>
      </c>
      <c r="H25" t="s">
        <v>565</v>
      </c>
      <c r="I25">
        <v>19</v>
      </c>
      <c r="J25">
        <v>2494.11</v>
      </c>
      <c r="K25">
        <v>47388.09</v>
      </c>
    </row>
    <row r="26" spans="2:25" ht="25.8">
      <c r="S26" s="20" t="s">
        <v>529</v>
      </c>
    </row>
    <row r="27" spans="2:25" ht="25.8">
      <c r="E27" s="20" t="s">
        <v>528</v>
      </c>
    </row>
    <row r="28" spans="2:25">
      <c r="B28" t="s">
        <v>566</v>
      </c>
    </row>
    <row r="29" spans="2:25">
      <c r="B29" t="s">
        <v>567</v>
      </c>
    </row>
    <row r="30" spans="2:25">
      <c r="B30" t="s">
        <v>568</v>
      </c>
      <c r="L30" t="s">
        <v>569</v>
      </c>
    </row>
    <row r="31" spans="2:25">
      <c r="B31" t="s">
        <v>570</v>
      </c>
    </row>
    <row r="32" spans="2:25">
      <c r="B32" t="s">
        <v>571</v>
      </c>
    </row>
    <row r="33" spans="2:26">
      <c r="B33" t="s">
        <v>572</v>
      </c>
      <c r="G33" t="s">
        <v>573</v>
      </c>
    </row>
    <row r="36" spans="2:26" ht="36.6">
      <c r="D36" s="29" t="s">
        <v>574</v>
      </c>
    </row>
    <row r="37" spans="2:26" ht="23.4">
      <c r="R37" s="21" t="s">
        <v>578</v>
      </c>
    </row>
    <row r="38" spans="2:26" ht="21">
      <c r="D38" s="18" t="s">
        <v>575</v>
      </c>
    </row>
    <row r="40" spans="2:26">
      <c r="B40" s="24" t="s">
        <v>503</v>
      </c>
      <c r="C40" s="24" t="s">
        <v>542</v>
      </c>
      <c r="D40" s="24" t="s">
        <v>383</v>
      </c>
      <c r="E40" s="24" t="s">
        <v>505</v>
      </c>
      <c r="F40" s="24" t="s">
        <v>504</v>
      </c>
      <c r="G40" s="24" t="s">
        <v>543</v>
      </c>
      <c r="H40" s="24" t="s">
        <v>175</v>
      </c>
      <c r="I40" s="24" t="s">
        <v>507</v>
      </c>
      <c r="J40" s="24" t="s">
        <v>508</v>
      </c>
      <c r="K40" s="24" t="s">
        <v>509</v>
      </c>
      <c r="N40" s="24" t="s">
        <v>587</v>
      </c>
      <c r="Q40" s="24" t="s">
        <v>503</v>
      </c>
      <c r="R40" s="24" t="s">
        <v>542</v>
      </c>
      <c r="S40" s="24" t="s">
        <v>383</v>
      </c>
      <c r="T40" s="24" t="s">
        <v>505</v>
      </c>
      <c r="U40" s="24" t="s">
        <v>504</v>
      </c>
      <c r="V40" s="24" t="s">
        <v>543</v>
      </c>
      <c r="W40" s="24" t="s">
        <v>175</v>
      </c>
      <c r="X40" s="24" t="s">
        <v>507</v>
      </c>
      <c r="Y40" s="24" t="s">
        <v>508</v>
      </c>
      <c r="Z40" s="24" t="s">
        <v>509</v>
      </c>
    </row>
    <row r="41" spans="2:26">
      <c r="B41" s="28">
        <v>45102</v>
      </c>
      <c r="C41" t="s">
        <v>544</v>
      </c>
      <c r="D41" t="s">
        <v>521</v>
      </c>
      <c r="E41" t="s">
        <v>511</v>
      </c>
      <c r="F41" t="s">
        <v>510</v>
      </c>
      <c r="G41" t="s">
        <v>192</v>
      </c>
      <c r="H41" t="s">
        <v>545</v>
      </c>
      <c r="I41">
        <v>6</v>
      </c>
      <c r="J41">
        <v>4016.25</v>
      </c>
      <c r="K41">
        <v>24097.5</v>
      </c>
      <c r="N41" t="s">
        <v>511</v>
      </c>
      <c r="Q41" cm="1">
        <f t="array" ref="Q41:Z45">_xlfn.TAKE(_xlfn._xlws.SORT(_xlfn._xlws.FILTER(B41:K63,E41:E63=N41),10,-1),N44)</f>
        <v>45079</v>
      </c>
      <c r="R41" t="str">
        <v>Aditi</v>
      </c>
      <c r="S41" t="str">
        <v>Pune</v>
      </c>
      <c r="T41" t="str">
        <v>Maharashtra</v>
      </c>
      <c r="U41" t="str">
        <v>West</v>
      </c>
      <c r="V41" t="str">
        <v>Furniture</v>
      </c>
      <c r="W41" t="str">
        <v>Table</v>
      </c>
      <c r="X41">
        <v>11</v>
      </c>
      <c r="Y41">
        <v>4509.49</v>
      </c>
      <c r="Z41">
        <v>49604.39</v>
      </c>
    </row>
    <row r="42" spans="2:26">
      <c r="B42" s="28">
        <v>45231</v>
      </c>
      <c r="C42" t="s">
        <v>546</v>
      </c>
      <c r="D42" t="s">
        <v>522</v>
      </c>
      <c r="E42" t="s">
        <v>515</v>
      </c>
      <c r="F42" t="s">
        <v>512</v>
      </c>
      <c r="G42" t="s">
        <v>188</v>
      </c>
      <c r="H42" t="s">
        <v>547</v>
      </c>
      <c r="I42">
        <v>9</v>
      </c>
      <c r="J42">
        <v>3801.85</v>
      </c>
      <c r="K42">
        <v>34216.65</v>
      </c>
      <c r="Q42">
        <v>44974</v>
      </c>
      <c r="R42" t="str">
        <v>Ishita</v>
      </c>
      <c r="S42" t="str">
        <v>Nagpur</v>
      </c>
      <c r="T42" t="str">
        <v>Maharashtra</v>
      </c>
      <c r="U42" t="str">
        <v>West</v>
      </c>
      <c r="V42" t="str">
        <v>Clothing</v>
      </c>
      <c r="W42" t="str">
        <v>Dress</v>
      </c>
      <c r="X42">
        <v>10</v>
      </c>
      <c r="Y42">
        <v>4247.74</v>
      </c>
      <c r="Z42">
        <v>42477.4</v>
      </c>
    </row>
    <row r="43" spans="2:26">
      <c r="B43" s="28">
        <v>45022</v>
      </c>
      <c r="C43" t="s">
        <v>548</v>
      </c>
      <c r="D43" t="s">
        <v>549</v>
      </c>
      <c r="E43" t="s">
        <v>513</v>
      </c>
      <c r="F43" t="s">
        <v>512</v>
      </c>
      <c r="G43" t="s">
        <v>188</v>
      </c>
      <c r="H43" t="s">
        <v>547</v>
      </c>
      <c r="I43">
        <v>11</v>
      </c>
      <c r="J43">
        <v>3594.07</v>
      </c>
      <c r="K43">
        <v>39534.769999999997</v>
      </c>
      <c r="Q43">
        <v>44938</v>
      </c>
      <c r="R43" t="str">
        <v>Ishita</v>
      </c>
      <c r="S43" t="str">
        <v>Mumbai</v>
      </c>
      <c r="T43" t="str">
        <v>Maharashtra</v>
      </c>
      <c r="U43" t="str">
        <v>West</v>
      </c>
      <c r="V43" t="str">
        <v>Stationery</v>
      </c>
      <c r="W43" t="str">
        <v>Eraser</v>
      </c>
      <c r="X43">
        <v>6</v>
      </c>
      <c r="Y43">
        <v>4231.7700000000004</v>
      </c>
      <c r="Z43">
        <v>25390.62</v>
      </c>
    </row>
    <row r="44" spans="2:26">
      <c r="B44" s="28">
        <v>45214</v>
      </c>
      <c r="C44" t="s">
        <v>546</v>
      </c>
      <c r="D44" t="s">
        <v>518</v>
      </c>
      <c r="E44" t="s">
        <v>515</v>
      </c>
      <c r="F44" t="s">
        <v>512</v>
      </c>
      <c r="G44" t="s">
        <v>196</v>
      </c>
      <c r="H44" t="s">
        <v>550</v>
      </c>
      <c r="I44">
        <v>9</v>
      </c>
      <c r="J44">
        <v>4487</v>
      </c>
      <c r="K44">
        <v>40383</v>
      </c>
      <c r="N44">
        <v>5</v>
      </c>
      <c r="Q44">
        <v>45102</v>
      </c>
      <c r="R44" t="str">
        <v>Meera</v>
      </c>
      <c r="S44" t="str">
        <v>Nagpur</v>
      </c>
      <c r="T44" t="str">
        <v>Maharashtra</v>
      </c>
      <c r="U44" t="str">
        <v>West</v>
      </c>
      <c r="V44" t="str">
        <v>Furniture</v>
      </c>
      <c r="W44" t="str">
        <v>Table</v>
      </c>
      <c r="X44">
        <v>6</v>
      </c>
      <c r="Y44">
        <v>4016.25</v>
      </c>
      <c r="Z44">
        <v>24097.5</v>
      </c>
    </row>
    <row r="45" spans="2:26">
      <c r="B45" s="28">
        <v>45145</v>
      </c>
      <c r="C45" t="s">
        <v>551</v>
      </c>
      <c r="D45" t="s">
        <v>382</v>
      </c>
      <c r="E45" t="s">
        <v>511</v>
      </c>
      <c r="F45" t="s">
        <v>510</v>
      </c>
      <c r="G45" t="s">
        <v>517</v>
      </c>
      <c r="H45" t="s">
        <v>552</v>
      </c>
      <c r="I45">
        <v>17</v>
      </c>
      <c r="J45">
        <v>1240.77</v>
      </c>
      <c r="K45">
        <v>21093.09</v>
      </c>
      <c r="Q45">
        <v>45145</v>
      </c>
      <c r="R45" t="str">
        <v>Aditi</v>
      </c>
      <c r="S45" t="str">
        <v>Mumbai</v>
      </c>
      <c r="T45" t="str">
        <v>Maharashtra</v>
      </c>
      <c r="U45" t="str">
        <v>West</v>
      </c>
      <c r="V45" t="str">
        <v>Groceries</v>
      </c>
      <c r="W45" t="str">
        <v>Lentils</v>
      </c>
      <c r="X45">
        <v>17</v>
      </c>
      <c r="Y45">
        <v>1240.77</v>
      </c>
      <c r="Z45">
        <v>21093.09</v>
      </c>
    </row>
    <row r="46" spans="2:26">
      <c r="B46" s="28">
        <v>45283</v>
      </c>
      <c r="C46" t="s">
        <v>553</v>
      </c>
      <c r="D46" t="s">
        <v>516</v>
      </c>
      <c r="E46" t="s">
        <v>515</v>
      </c>
      <c r="F46" t="s">
        <v>512</v>
      </c>
      <c r="G46" t="s">
        <v>188</v>
      </c>
      <c r="H46" t="s">
        <v>554</v>
      </c>
      <c r="I46">
        <v>7</v>
      </c>
      <c r="J46">
        <v>4772.29</v>
      </c>
      <c r="K46">
        <v>33406.03</v>
      </c>
    </row>
    <row r="47" spans="2:26">
      <c r="B47" s="28">
        <v>45047</v>
      </c>
      <c r="C47" t="s">
        <v>555</v>
      </c>
      <c r="D47" t="s">
        <v>514</v>
      </c>
      <c r="E47" t="s">
        <v>513</v>
      </c>
      <c r="F47" t="s">
        <v>512</v>
      </c>
      <c r="G47" t="s">
        <v>180</v>
      </c>
      <c r="H47" t="s">
        <v>135</v>
      </c>
      <c r="I47">
        <v>5</v>
      </c>
      <c r="J47">
        <v>2196.9899999999998</v>
      </c>
      <c r="K47">
        <v>10984.95</v>
      </c>
    </row>
    <row r="48" spans="2:26" ht="18">
      <c r="B48" s="28">
        <v>45283</v>
      </c>
      <c r="C48" t="s">
        <v>556</v>
      </c>
      <c r="D48" t="s">
        <v>525</v>
      </c>
      <c r="E48" t="s">
        <v>524</v>
      </c>
      <c r="F48" t="s">
        <v>510</v>
      </c>
      <c r="G48" t="s">
        <v>196</v>
      </c>
      <c r="H48" t="s">
        <v>550</v>
      </c>
      <c r="I48">
        <v>5</v>
      </c>
      <c r="J48">
        <v>967.6</v>
      </c>
      <c r="K48">
        <v>4838</v>
      </c>
      <c r="R48" t="s">
        <v>592</v>
      </c>
    </row>
    <row r="49" spans="2:17">
      <c r="B49" s="28">
        <v>45222</v>
      </c>
      <c r="C49" t="s">
        <v>546</v>
      </c>
      <c r="D49" t="s">
        <v>518</v>
      </c>
      <c r="E49" t="s">
        <v>515</v>
      </c>
      <c r="F49" t="s">
        <v>512</v>
      </c>
      <c r="G49" t="s">
        <v>188</v>
      </c>
      <c r="H49" t="s">
        <v>547</v>
      </c>
      <c r="I49">
        <v>18</v>
      </c>
      <c r="J49">
        <v>3128.59</v>
      </c>
      <c r="K49">
        <v>56314.62</v>
      </c>
    </row>
    <row r="50" spans="2:17">
      <c r="B50" s="28">
        <v>45247</v>
      </c>
      <c r="C50" t="s">
        <v>548</v>
      </c>
      <c r="D50" t="s">
        <v>516</v>
      </c>
      <c r="E50" t="s">
        <v>515</v>
      </c>
      <c r="F50" t="s">
        <v>512</v>
      </c>
      <c r="G50" t="s">
        <v>192</v>
      </c>
      <c r="H50" t="s">
        <v>545</v>
      </c>
      <c r="I50">
        <v>10</v>
      </c>
      <c r="J50">
        <v>2754.3</v>
      </c>
      <c r="K50">
        <v>27543</v>
      </c>
      <c r="Q50" t="s">
        <v>596</v>
      </c>
    </row>
    <row r="51" spans="2:17">
      <c r="B51" s="28">
        <v>44972</v>
      </c>
      <c r="C51" t="s">
        <v>546</v>
      </c>
      <c r="D51" t="s">
        <v>525</v>
      </c>
      <c r="E51" t="s">
        <v>524</v>
      </c>
      <c r="F51" t="s">
        <v>510</v>
      </c>
      <c r="G51" t="s">
        <v>180</v>
      </c>
      <c r="H51" t="s">
        <v>138</v>
      </c>
      <c r="I51">
        <v>19</v>
      </c>
      <c r="J51">
        <v>4896.3100000000004</v>
      </c>
      <c r="K51">
        <v>93029.89</v>
      </c>
      <c r="Q51" t="s">
        <v>597</v>
      </c>
    </row>
    <row r="52" spans="2:17">
      <c r="B52" s="28">
        <v>45037</v>
      </c>
      <c r="C52" t="s">
        <v>555</v>
      </c>
      <c r="D52" t="s">
        <v>514</v>
      </c>
      <c r="E52" t="s">
        <v>513</v>
      </c>
      <c r="F52" t="s">
        <v>512</v>
      </c>
      <c r="G52" t="s">
        <v>196</v>
      </c>
      <c r="H52" t="s">
        <v>557</v>
      </c>
      <c r="I52">
        <v>19</v>
      </c>
      <c r="J52">
        <v>4562.0200000000004</v>
      </c>
      <c r="K52">
        <v>86678.38</v>
      </c>
      <c r="Q52" t="s">
        <v>598</v>
      </c>
    </row>
    <row r="53" spans="2:17">
      <c r="B53" s="28">
        <v>44938</v>
      </c>
      <c r="C53" t="s">
        <v>553</v>
      </c>
      <c r="D53" t="s">
        <v>382</v>
      </c>
      <c r="E53" t="s">
        <v>511</v>
      </c>
      <c r="F53" t="s">
        <v>510</v>
      </c>
      <c r="G53" t="s">
        <v>188</v>
      </c>
      <c r="H53" t="s">
        <v>554</v>
      </c>
      <c r="I53">
        <v>6</v>
      </c>
      <c r="J53">
        <v>4231.7700000000004</v>
      </c>
      <c r="K53">
        <v>25390.62</v>
      </c>
      <c r="Q53" t="s">
        <v>599</v>
      </c>
    </row>
    <row r="54" spans="2:17">
      <c r="B54" s="28">
        <v>44952</v>
      </c>
      <c r="C54" t="s">
        <v>558</v>
      </c>
      <c r="D54" t="s">
        <v>525</v>
      </c>
      <c r="E54" t="s">
        <v>524</v>
      </c>
      <c r="F54" t="s">
        <v>510</v>
      </c>
      <c r="G54" t="s">
        <v>196</v>
      </c>
      <c r="H54" t="s">
        <v>559</v>
      </c>
      <c r="I54">
        <v>20</v>
      </c>
      <c r="J54">
        <v>1027.53</v>
      </c>
      <c r="K54">
        <v>20550.599999999999</v>
      </c>
      <c r="Q54" t="s">
        <v>600</v>
      </c>
    </row>
    <row r="55" spans="2:17">
      <c r="B55" s="28">
        <v>45073</v>
      </c>
      <c r="C55" t="s">
        <v>560</v>
      </c>
      <c r="D55" t="s">
        <v>521</v>
      </c>
      <c r="E55" t="s">
        <v>511</v>
      </c>
      <c r="F55" t="s">
        <v>510</v>
      </c>
      <c r="G55" t="s">
        <v>196</v>
      </c>
      <c r="H55" t="s">
        <v>557</v>
      </c>
      <c r="I55">
        <v>7</v>
      </c>
      <c r="J55">
        <v>1257.3399999999999</v>
      </c>
      <c r="K55">
        <v>8801.3799999999992</v>
      </c>
    </row>
    <row r="56" spans="2:17">
      <c r="B56" s="28">
        <v>45258</v>
      </c>
      <c r="C56" t="s">
        <v>555</v>
      </c>
      <c r="D56" t="s">
        <v>561</v>
      </c>
      <c r="E56" t="s">
        <v>403</v>
      </c>
      <c r="F56" t="s">
        <v>519</v>
      </c>
      <c r="G56" t="s">
        <v>196</v>
      </c>
      <c r="H56" t="s">
        <v>559</v>
      </c>
      <c r="I56">
        <v>9</v>
      </c>
      <c r="J56">
        <v>2634.14</v>
      </c>
      <c r="K56">
        <v>23707.26</v>
      </c>
    </row>
    <row r="57" spans="2:17">
      <c r="B57" s="28">
        <v>45079</v>
      </c>
      <c r="C57" t="s">
        <v>551</v>
      </c>
      <c r="D57" t="s">
        <v>384</v>
      </c>
      <c r="E57" t="s">
        <v>511</v>
      </c>
      <c r="F57" t="s">
        <v>510</v>
      </c>
      <c r="G57" t="s">
        <v>192</v>
      </c>
      <c r="H57" t="s">
        <v>545</v>
      </c>
      <c r="I57">
        <v>11</v>
      </c>
      <c r="J57">
        <v>4509.49</v>
      </c>
      <c r="K57">
        <v>49604.39</v>
      </c>
    </row>
    <row r="58" spans="2:17">
      <c r="B58" s="28">
        <v>44981</v>
      </c>
      <c r="C58" t="s">
        <v>553</v>
      </c>
      <c r="D58" t="s">
        <v>385</v>
      </c>
      <c r="E58" t="s">
        <v>524</v>
      </c>
      <c r="F58" t="s">
        <v>510</v>
      </c>
      <c r="G58" t="s">
        <v>517</v>
      </c>
      <c r="H58" t="s">
        <v>562</v>
      </c>
      <c r="I58">
        <v>3</v>
      </c>
      <c r="J58">
        <v>2738.83</v>
      </c>
      <c r="K58">
        <v>8216.49</v>
      </c>
    </row>
    <row r="59" spans="2:17">
      <c r="B59" s="28">
        <v>44974</v>
      </c>
      <c r="C59" t="s">
        <v>553</v>
      </c>
      <c r="D59" t="s">
        <v>521</v>
      </c>
      <c r="E59" t="s">
        <v>511</v>
      </c>
      <c r="F59" t="s">
        <v>510</v>
      </c>
      <c r="G59" t="s">
        <v>196</v>
      </c>
      <c r="H59" t="s">
        <v>550</v>
      </c>
      <c r="I59">
        <v>10</v>
      </c>
      <c r="J59">
        <v>4247.74</v>
      </c>
      <c r="K59">
        <v>42477.4</v>
      </c>
    </row>
    <row r="60" spans="2:17">
      <c r="B60" s="28">
        <v>44972</v>
      </c>
      <c r="C60" t="s">
        <v>548</v>
      </c>
      <c r="D60" t="s">
        <v>514</v>
      </c>
      <c r="E60" t="s">
        <v>513</v>
      </c>
      <c r="F60" t="s">
        <v>512</v>
      </c>
      <c r="G60" t="s">
        <v>188</v>
      </c>
      <c r="H60" t="s">
        <v>554</v>
      </c>
      <c r="I60">
        <v>3</v>
      </c>
      <c r="J60">
        <v>1133.19</v>
      </c>
      <c r="K60">
        <v>3399.57</v>
      </c>
    </row>
    <row r="61" spans="2:17">
      <c r="B61" s="28">
        <v>44976</v>
      </c>
      <c r="C61" t="s">
        <v>563</v>
      </c>
      <c r="D61" t="s">
        <v>564</v>
      </c>
      <c r="E61" t="s">
        <v>403</v>
      </c>
      <c r="F61" t="s">
        <v>519</v>
      </c>
      <c r="G61" t="s">
        <v>180</v>
      </c>
      <c r="H61" t="s">
        <v>138</v>
      </c>
      <c r="I61">
        <v>6</v>
      </c>
      <c r="J61">
        <v>623.22</v>
      </c>
      <c r="K61">
        <v>3739.32</v>
      </c>
    </row>
    <row r="62" spans="2:17">
      <c r="B62" s="28">
        <v>45044</v>
      </c>
      <c r="C62" t="s">
        <v>551</v>
      </c>
      <c r="D62" t="s">
        <v>522</v>
      </c>
      <c r="E62" t="s">
        <v>515</v>
      </c>
      <c r="F62" t="s">
        <v>512</v>
      </c>
      <c r="G62" t="s">
        <v>188</v>
      </c>
      <c r="H62" t="s">
        <v>547</v>
      </c>
      <c r="I62">
        <v>18</v>
      </c>
      <c r="J62">
        <v>698.42</v>
      </c>
      <c r="K62">
        <v>12571.56</v>
      </c>
    </row>
    <row r="63" spans="2:17">
      <c r="B63" s="28">
        <v>45266</v>
      </c>
      <c r="C63" t="s">
        <v>556</v>
      </c>
      <c r="D63" t="s">
        <v>523</v>
      </c>
      <c r="E63" t="s">
        <v>513</v>
      </c>
      <c r="F63" t="s">
        <v>512</v>
      </c>
      <c r="G63" t="s">
        <v>517</v>
      </c>
      <c r="H63" t="s">
        <v>565</v>
      </c>
      <c r="I63">
        <v>19</v>
      </c>
      <c r="J63">
        <v>2494.11</v>
      </c>
      <c r="K63">
        <v>47388.09</v>
      </c>
    </row>
    <row r="65" spans="2:7" ht="18">
      <c r="E65" s="13" t="s">
        <v>579</v>
      </c>
    </row>
    <row r="68" spans="2:7" ht="23.4">
      <c r="D68" s="21" t="s">
        <v>580</v>
      </c>
    </row>
    <row r="70" spans="2:7">
      <c r="B70" t="s">
        <v>581</v>
      </c>
    </row>
    <row r="71" spans="2:7">
      <c r="B71" t="s">
        <v>582</v>
      </c>
      <c r="G71" t="s">
        <v>583</v>
      </c>
    </row>
    <row r="72" spans="2:7">
      <c r="B72" t="s">
        <v>584</v>
      </c>
    </row>
    <row r="73" spans="2:7">
      <c r="B73" t="s">
        <v>585</v>
      </c>
    </row>
    <row r="74" spans="2:7">
      <c r="B74" t="s">
        <v>586</v>
      </c>
    </row>
    <row r="78" spans="2:7">
      <c r="B78" t="s">
        <v>588</v>
      </c>
    </row>
    <row r="79" spans="2:7">
      <c r="B79" t="s">
        <v>589</v>
      </c>
    </row>
    <row r="80" spans="2:7">
      <c r="B80" t="s">
        <v>590</v>
      </c>
    </row>
    <row r="81" spans="2:15">
      <c r="B81" t="s">
        <v>591</v>
      </c>
      <c r="K81" t="s">
        <v>593</v>
      </c>
      <c r="O81" t="s">
        <v>594</v>
      </c>
    </row>
    <row r="82" spans="2:15">
      <c r="E82" t="s">
        <v>595</v>
      </c>
    </row>
  </sheetData>
  <mergeCells count="2">
    <mergeCell ref="A1:F1"/>
    <mergeCell ref="P1:R1"/>
  </mergeCells>
  <dataValidations count="4">
    <dataValidation type="list" allowBlank="1" showInputMessage="1" showErrorMessage="1" sqref="M2" xr:uid="{C03468BD-8377-4238-8657-F7FB025F8976}">
      <formula1>$E$2:$E$25</formula1>
    </dataValidation>
    <dataValidation type="list" allowBlank="1" showInputMessage="1" showErrorMessage="1" sqref="O2" xr:uid="{966DFAA0-99FE-45F5-A84A-1D4884385D6E}">
      <formula1>$F$2:$F$25</formula1>
    </dataValidation>
    <dataValidation type="list" allowBlank="1" showInputMessage="1" showErrorMessage="1" sqref="N2" xr:uid="{8867BAE5-23D6-4F4A-88F5-4747A891F575}">
      <formula1>$H$2:$H$25</formula1>
    </dataValidation>
    <dataValidation type="list" allowBlank="1" showInputMessage="1" showErrorMessage="1" sqref="N41" xr:uid="{65AB5946-C40C-497E-A80C-AEC3E4ADED10}">
      <formula1>$E$41:$E$63</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E4012-9A18-4BE1-B83F-92CBF1EF1B49}">
  <sheetPr codeName="Sheet15"/>
  <dimension ref="A1:Q36"/>
  <sheetViews>
    <sheetView workbookViewId="0">
      <selection activeCell="H10" sqref="H10"/>
    </sheetView>
  </sheetViews>
  <sheetFormatPr defaultRowHeight="14.4"/>
  <cols>
    <col min="1" max="1" width="10.44140625" customWidth="1"/>
    <col min="2" max="2" width="14.88671875" customWidth="1"/>
    <col min="3" max="3" width="13.5546875" customWidth="1"/>
    <col min="4" max="4" width="13.6640625" customWidth="1"/>
    <col min="5" max="5" width="12.109375" customWidth="1"/>
    <col min="8" max="8" width="11.88671875" customWidth="1"/>
    <col min="9" max="9" width="15.44140625" customWidth="1"/>
  </cols>
  <sheetData>
    <row r="1" spans="1:17">
      <c r="A1" t="s">
        <v>0</v>
      </c>
      <c r="B1" t="s">
        <v>1</v>
      </c>
      <c r="C1" t="s">
        <v>601</v>
      </c>
      <c r="D1" t="s">
        <v>3</v>
      </c>
      <c r="E1" t="s">
        <v>602</v>
      </c>
    </row>
    <row r="2" spans="1:17">
      <c r="A2" t="s">
        <v>5</v>
      </c>
      <c r="B2" t="s">
        <v>603</v>
      </c>
      <c r="C2" t="s">
        <v>7</v>
      </c>
      <c r="D2" s="30">
        <v>41954</v>
      </c>
      <c r="E2" s="28">
        <v>43831</v>
      </c>
    </row>
    <row r="3" spans="1:17">
      <c r="A3" t="s">
        <v>8</v>
      </c>
      <c r="B3" t="s">
        <v>604</v>
      </c>
      <c r="C3" t="s">
        <v>13</v>
      </c>
      <c r="D3" s="30">
        <v>49855</v>
      </c>
      <c r="E3" s="28">
        <v>43832</v>
      </c>
    </row>
    <row r="4" spans="1:17">
      <c r="A4" t="s">
        <v>11</v>
      </c>
      <c r="B4" t="s">
        <v>605</v>
      </c>
      <c r="C4" t="s">
        <v>10</v>
      </c>
      <c r="D4" s="30">
        <v>94210</v>
      </c>
      <c r="E4" s="28">
        <v>43833</v>
      </c>
    </row>
    <row r="5" spans="1:17">
      <c r="A5" t="s">
        <v>14</v>
      </c>
      <c r="B5" t="s">
        <v>606</v>
      </c>
      <c r="C5" t="s">
        <v>7</v>
      </c>
      <c r="D5" s="30">
        <v>74689</v>
      </c>
      <c r="E5" s="28">
        <v>43834</v>
      </c>
    </row>
    <row r="6" spans="1:17">
      <c r="A6" t="s">
        <v>17</v>
      </c>
      <c r="B6" t="s">
        <v>607</v>
      </c>
      <c r="C6" t="s">
        <v>13</v>
      </c>
      <c r="D6" s="30">
        <v>90652</v>
      </c>
      <c r="E6" s="28">
        <v>43835</v>
      </c>
      <c r="Q6" s="24"/>
    </row>
    <row r="7" spans="1:17" ht="25.8">
      <c r="A7" t="s">
        <v>20</v>
      </c>
      <c r="B7" t="s">
        <v>605</v>
      </c>
      <c r="C7" t="s">
        <v>13</v>
      </c>
      <c r="D7" s="30">
        <v>74820</v>
      </c>
      <c r="E7" s="28">
        <v>43836</v>
      </c>
      <c r="H7" t="s">
        <v>0</v>
      </c>
      <c r="I7" t="s">
        <v>1816</v>
      </c>
      <c r="O7" s="20" t="s">
        <v>1795</v>
      </c>
      <c r="P7" s="42"/>
    </row>
    <row r="8" spans="1:17">
      <c r="A8" t="s">
        <v>22</v>
      </c>
      <c r="B8" t="s">
        <v>608</v>
      </c>
      <c r="C8" t="s">
        <v>10</v>
      </c>
      <c r="D8" s="30">
        <v>85206</v>
      </c>
      <c r="E8" s="28">
        <v>43837</v>
      </c>
      <c r="H8" t="s">
        <v>1</v>
      </c>
      <c r="I8" t="str">
        <f>VLOOKUP($I$7,$A$1:$E$13,ROW()-6,0)</f>
        <v xml:space="preserve">        Employee_10</v>
      </c>
      <c r="L8">
        <f>ROW()</f>
        <v>8</v>
      </c>
    </row>
    <row r="9" spans="1:17" ht="25.8">
      <c r="A9" t="s">
        <v>24</v>
      </c>
      <c r="B9" t="s">
        <v>609</v>
      </c>
      <c r="C9" t="s">
        <v>7</v>
      </c>
      <c r="D9" s="30">
        <v>30924</v>
      </c>
      <c r="E9" s="28">
        <v>43838</v>
      </c>
      <c r="G9" t="s">
        <v>304</v>
      </c>
      <c r="H9" t="s">
        <v>2</v>
      </c>
      <c r="I9" t="str">
        <f t="shared" ref="I9:I11" si="0">VLOOKUP($I$7,$A$1:$E$13,ROW()-6,0)</f>
        <v>Sales</v>
      </c>
      <c r="N9" s="42"/>
      <c r="O9" t="s">
        <v>1806</v>
      </c>
    </row>
    <row r="10" spans="1:17">
      <c r="A10" t="s">
        <v>26</v>
      </c>
      <c r="B10" t="s">
        <v>610</v>
      </c>
      <c r="C10" t="s">
        <v>13</v>
      </c>
      <c r="D10" s="30">
        <v>57737</v>
      </c>
      <c r="E10" s="28">
        <v>43839</v>
      </c>
      <c r="H10" t="s">
        <v>3</v>
      </c>
      <c r="I10">
        <f t="shared" si="0"/>
        <v>36000</v>
      </c>
      <c r="O10" t="s">
        <v>1807</v>
      </c>
    </row>
    <row r="11" spans="1:17" ht="25.8">
      <c r="A11" t="s">
        <v>28</v>
      </c>
      <c r="B11" t="s">
        <v>611</v>
      </c>
      <c r="C11" t="s">
        <v>10</v>
      </c>
      <c r="D11" s="30">
        <v>36000</v>
      </c>
      <c r="E11" s="28">
        <v>43840</v>
      </c>
      <c r="H11" t="s">
        <v>614</v>
      </c>
      <c r="I11" s="28">
        <f t="shared" si="0"/>
        <v>43840</v>
      </c>
      <c r="N11" s="42"/>
      <c r="O11" t="s">
        <v>1805</v>
      </c>
    </row>
    <row r="12" spans="1:17">
      <c r="A12" t="s">
        <v>29</v>
      </c>
      <c r="B12" t="s">
        <v>612</v>
      </c>
      <c r="C12" t="s">
        <v>10</v>
      </c>
      <c r="D12" s="30">
        <v>96371</v>
      </c>
      <c r="E12" s="28">
        <v>43841</v>
      </c>
      <c r="O12" t="s">
        <v>1808</v>
      </c>
    </row>
    <row r="13" spans="1:17">
      <c r="A13" t="s">
        <v>31</v>
      </c>
      <c r="B13" t="s">
        <v>613</v>
      </c>
      <c r="C13" t="s">
        <v>13</v>
      </c>
      <c r="D13" s="30">
        <v>85028</v>
      </c>
      <c r="E13" s="28">
        <v>43842</v>
      </c>
      <c r="O13" t="s">
        <v>1809</v>
      </c>
    </row>
    <row r="14" spans="1:17">
      <c r="O14" t="s">
        <v>1810</v>
      </c>
    </row>
    <row r="15" spans="1:17" ht="15.6">
      <c r="E15" s="19"/>
      <c r="O15" t="s">
        <v>1811</v>
      </c>
    </row>
    <row r="16" spans="1:17" ht="25.8">
      <c r="B16" s="20" t="s">
        <v>1800</v>
      </c>
      <c r="C16" s="20"/>
      <c r="D16" s="20"/>
      <c r="E16" s="20"/>
      <c r="O16" t="s">
        <v>1812</v>
      </c>
    </row>
    <row r="17" spans="1:15">
      <c r="O17" t="s">
        <v>1813</v>
      </c>
    </row>
    <row r="18" spans="1:15" ht="18">
      <c r="A18" s="38" t="s">
        <v>1796</v>
      </c>
      <c r="O18" t="s">
        <v>1814</v>
      </c>
    </row>
    <row r="19" spans="1:15">
      <c r="A19" s="39"/>
      <c r="O19" t="s">
        <v>1815</v>
      </c>
    </row>
    <row r="20" spans="1:15">
      <c r="A20" s="40" t="s">
        <v>1797</v>
      </c>
    </row>
    <row r="21" spans="1:15">
      <c r="A21" s="39"/>
    </row>
    <row r="22" spans="1:15">
      <c r="A22" s="40" t="s">
        <v>1798</v>
      </c>
    </row>
    <row r="23" spans="1:15">
      <c r="A23" s="39"/>
    </row>
    <row r="24" spans="1:15">
      <c r="A24" s="40" t="s">
        <v>1799</v>
      </c>
    </row>
    <row r="26" spans="1:15" ht="18">
      <c r="B26" s="13" t="s">
        <v>1801</v>
      </c>
    </row>
    <row r="27" spans="1:15" ht="18">
      <c r="B27" s="13"/>
    </row>
    <row r="28" spans="1:15">
      <c r="A28" t="s">
        <v>1802</v>
      </c>
    </row>
    <row r="30" spans="1:15">
      <c r="A30" t="s">
        <v>1803</v>
      </c>
    </row>
    <row r="32" spans="1:15">
      <c r="A32" s="24" t="s">
        <v>1804</v>
      </c>
    </row>
    <row r="33" spans="1:1">
      <c r="A33" s="5"/>
    </row>
    <row r="34" spans="1:1">
      <c r="A34" s="41" t="s">
        <v>1805</v>
      </c>
    </row>
    <row r="36" spans="1:1">
      <c r="A36" s="4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5A547-74D5-40BC-836C-914CED9C9159}">
  <sheetPr codeName="Sheet16"/>
  <dimension ref="A1:O501"/>
  <sheetViews>
    <sheetView workbookViewId="0">
      <selection activeCell="I3" sqref="I3"/>
    </sheetView>
  </sheetViews>
  <sheetFormatPr defaultRowHeight="14.4"/>
  <cols>
    <col min="1" max="1" width="16.44140625" customWidth="1"/>
    <col min="2" max="2" width="11.77734375" customWidth="1"/>
    <col min="3" max="3" width="15.6640625" customWidth="1"/>
    <col min="4" max="4" width="18.33203125" customWidth="1"/>
    <col min="5" max="5" width="16" customWidth="1"/>
    <col min="8" max="8" width="12" customWidth="1"/>
    <col min="9" max="9" width="11.109375" customWidth="1"/>
  </cols>
  <sheetData>
    <row r="1" spans="1:15" ht="15" thickBot="1">
      <c r="A1" s="31" t="s">
        <v>0</v>
      </c>
      <c r="B1" s="32" t="s">
        <v>1</v>
      </c>
      <c r="C1" s="32" t="s">
        <v>2</v>
      </c>
      <c r="D1" s="32" t="s">
        <v>3</v>
      </c>
      <c r="E1" s="32" t="s">
        <v>4</v>
      </c>
    </row>
    <row r="2" spans="1:15" ht="15" thickBot="1">
      <c r="A2" s="36" t="s">
        <v>5</v>
      </c>
      <c r="B2" s="37" t="s">
        <v>6</v>
      </c>
      <c r="C2" s="37" t="s">
        <v>7</v>
      </c>
      <c r="D2" s="33">
        <v>41954</v>
      </c>
      <c r="E2" s="34">
        <v>43831</v>
      </c>
    </row>
    <row r="3" spans="1:15" ht="15" thickBot="1">
      <c r="A3" s="36" t="s">
        <v>8</v>
      </c>
      <c r="B3" s="37" t="s">
        <v>9</v>
      </c>
      <c r="C3" s="37" t="s">
        <v>13</v>
      </c>
      <c r="D3" s="33">
        <v>49855</v>
      </c>
      <c r="E3" s="34">
        <v>43862</v>
      </c>
      <c r="H3" s="24" t="s">
        <v>0</v>
      </c>
      <c r="I3" t="s">
        <v>1817</v>
      </c>
    </row>
    <row r="4" spans="1:15" ht="15" thickBot="1">
      <c r="A4" s="36" t="s">
        <v>11</v>
      </c>
      <c r="B4" s="37" t="s">
        <v>12</v>
      </c>
      <c r="C4" s="37" t="s">
        <v>10</v>
      </c>
      <c r="D4" s="33">
        <v>94210</v>
      </c>
      <c r="E4" s="34">
        <v>43891</v>
      </c>
      <c r="H4" s="32" t="s">
        <v>1</v>
      </c>
      <c r="I4" t="str">
        <f>VLOOKUP($I$3,$A$1:$E$501,ROW()-2,0)</f>
        <v>Employee_500</v>
      </c>
      <c r="O4">
        <f>ROW()</f>
        <v>4</v>
      </c>
    </row>
    <row r="5" spans="1:15" ht="15" thickBot="1">
      <c r="A5" s="36" t="s">
        <v>14</v>
      </c>
      <c r="B5" s="37" t="s">
        <v>15</v>
      </c>
      <c r="C5" s="37" t="s">
        <v>7</v>
      </c>
      <c r="D5" s="33">
        <v>74689</v>
      </c>
      <c r="E5" s="34">
        <v>43922</v>
      </c>
      <c r="H5" s="32" t="s">
        <v>2</v>
      </c>
      <c r="I5" t="str">
        <f t="shared" ref="I5:I6" si="0">VLOOKUP($I$3,$A$1:$E$501,ROW()-2,0)</f>
        <v>Operations</v>
      </c>
    </row>
    <row r="6" spans="1:15" ht="15" thickBot="1">
      <c r="A6" s="36" t="s">
        <v>17</v>
      </c>
      <c r="B6" s="37" t="s">
        <v>18</v>
      </c>
      <c r="C6" s="37" t="s">
        <v>13</v>
      </c>
      <c r="D6" s="33">
        <v>90652</v>
      </c>
      <c r="E6" s="34">
        <v>43952</v>
      </c>
      <c r="H6" s="32" t="s">
        <v>3</v>
      </c>
      <c r="I6">
        <f t="shared" si="0"/>
        <v>47209</v>
      </c>
    </row>
    <row r="7" spans="1:15" ht="15" thickBot="1">
      <c r="A7" s="36" t="s">
        <v>20</v>
      </c>
      <c r="B7" s="37" t="s">
        <v>12</v>
      </c>
      <c r="C7" s="37" t="s">
        <v>13</v>
      </c>
      <c r="D7" s="33">
        <v>74820</v>
      </c>
      <c r="E7" s="34">
        <v>43983</v>
      </c>
      <c r="H7" s="32" t="s">
        <v>4</v>
      </c>
      <c r="I7" s="28" t="str">
        <f>VLOOKUP($I$3,$A$1:$E$501,ROW()-2,0)</f>
        <v>5/14/2021</v>
      </c>
    </row>
    <row r="8" spans="1:15" ht="15" thickBot="1">
      <c r="A8" s="36" t="s">
        <v>22</v>
      </c>
      <c r="B8" s="37" t="s">
        <v>23</v>
      </c>
      <c r="C8" s="37" t="s">
        <v>10</v>
      </c>
      <c r="D8" s="33">
        <v>85206</v>
      </c>
      <c r="E8" s="34">
        <v>44013</v>
      </c>
    </row>
    <row r="9" spans="1:15" ht="15" thickBot="1">
      <c r="A9" s="36" t="s">
        <v>24</v>
      </c>
      <c r="B9" s="37" t="s">
        <v>25</v>
      </c>
      <c r="C9" s="37" t="s">
        <v>7</v>
      </c>
      <c r="D9" s="33">
        <v>30924</v>
      </c>
      <c r="E9" s="34">
        <v>44044</v>
      </c>
    </row>
    <row r="10" spans="1:15" ht="15" thickBot="1">
      <c r="A10" s="36" t="s">
        <v>26</v>
      </c>
      <c r="B10" s="37" t="s">
        <v>27</v>
      </c>
      <c r="C10" s="37" t="s">
        <v>13</v>
      </c>
      <c r="D10" s="33">
        <v>57737</v>
      </c>
      <c r="E10" s="34">
        <v>44075</v>
      </c>
    </row>
    <row r="11" spans="1:15" ht="33" thickBot="1">
      <c r="A11" s="36" t="s">
        <v>28</v>
      </c>
      <c r="B11" s="37" t="s">
        <v>156</v>
      </c>
      <c r="C11" s="37" t="s">
        <v>10</v>
      </c>
      <c r="D11" s="33">
        <v>36000</v>
      </c>
      <c r="E11" s="34">
        <v>44105</v>
      </c>
      <c r="H11" s="23" t="s">
        <v>1818</v>
      </c>
    </row>
    <row r="12" spans="1:15" ht="29.4" thickBot="1">
      <c r="A12" s="36" t="s">
        <v>29</v>
      </c>
      <c r="B12" s="37" t="s">
        <v>30</v>
      </c>
      <c r="C12" s="37" t="s">
        <v>10</v>
      </c>
      <c r="D12" s="33">
        <v>96371</v>
      </c>
      <c r="E12" s="34">
        <v>44136</v>
      </c>
    </row>
    <row r="13" spans="1:15" ht="29.4" thickBot="1">
      <c r="A13" s="36" t="s">
        <v>31</v>
      </c>
      <c r="B13" s="37" t="s">
        <v>32</v>
      </c>
      <c r="C13" s="37" t="s">
        <v>13</v>
      </c>
      <c r="D13" s="33">
        <v>85028</v>
      </c>
      <c r="E13" s="34">
        <v>44166</v>
      </c>
    </row>
    <row r="14" spans="1:15" ht="29.4" thickBot="1">
      <c r="A14" s="36" t="s">
        <v>33</v>
      </c>
      <c r="B14" s="37" t="s">
        <v>34</v>
      </c>
      <c r="C14" s="37" t="s">
        <v>16</v>
      </c>
      <c r="D14" s="33">
        <v>51378</v>
      </c>
      <c r="E14" s="35" t="s">
        <v>615</v>
      </c>
    </row>
    <row r="15" spans="1:15" ht="29.4" thickBot="1">
      <c r="A15" s="36" t="s">
        <v>35</v>
      </c>
      <c r="B15" s="37" t="s">
        <v>36</v>
      </c>
      <c r="C15" s="37" t="s">
        <v>7</v>
      </c>
      <c r="D15" s="33">
        <v>49898</v>
      </c>
      <c r="E15" s="35" t="s">
        <v>616</v>
      </c>
    </row>
    <row r="16" spans="1:15" ht="29.4" thickBot="1">
      <c r="A16" s="36" t="s">
        <v>37</v>
      </c>
      <c r="B16" s="37" t="s">
        <v>38</v>
      </c>
      <c r="C16" s="37" t="s">
        <v>10</v>
      </c>
      <c r="D16" s="33">
        <v>71737</v>
      </c>
      <c r="E16" s="35" t="s">
        <v>617</v>
      </c>
    </row>
    <row r="17" spans="1:5" ht="29.4" thickBot="1">
      <c r="A17" s="36" t="s">
        <v>39</v>
      </c>
      <c r="B17" s="37" t="s">
        <v>40</v>
      </c>
      <c r="C17" s="37" t="s">
        <v>10</v>
      </c>
      <c r="D17" s="33">
        <v>89576</v>
      </c>
      <c r="E17" s="35" t="s">
        <v>618</v>
      </c>
    </row>
    <row r="18" spans="1:5" ht="29.4" thickBot="1">
      <c r="A18" s="36" t="s">
        <v>41</v>
      </c>
      <c r="B18" s="37" t="s">
        <v>42</v>
      </c>
      <c r="C18" s="37" t="s">
        <v>10</v>
      </c>
      <c r="D18" s="33">
        <v>45503</v>
      </c>
      <c r="E18" s="35" t="s">
        <v>619</v>
      </c>
    </row>
    <row r="19" spans="1:5" ht="29.4" thickBot="1">
      <c r="A19" s="36" t="s">
        <v>43</v>
      </c>
      <c r="B19" s="37" t="s">
        <v>44</v>
      </c>
      <c r="C19" s="37" t="s">
        <v>19</v>
      </c>
      <c r="D19" s="33">
        <v>54752</v>
      </c>
      <c r="E19" s="35" t="s">
        <v>620</v>
      </c>
    </row>
    <row r="20" spans="1:5" ht="29.4" thickBot="1">
      <c r="A20" s="36" t="s">
        <v>45</v>
      </c>
      <c r="B20" s="37" t="s">
        <v>46</v>
      </c>
      <c r="C20" s="37" t="s">
        <v>16</v>
      </c>
      <c r="D20" s="33">
        <v>89685</v>
      </c>
      <c r="E20" s="35" t="s">
        <v>621</v>
      </c>
    </row>
    <row r="21" spans="1:5" ht="29.4" thickBot="1">
      <c r="A21" s="36" t="s">
        <v>47</v>
      </c>
      <c r="B21" s="37" t="s">
        <v>48</v>
      </c>
      <c r="C21" s="37" t="s">
        <v>10</v>
      </c>
      <c r="D21" s="33">
        <v>97208</v>
      </c>
      <c r="E21" s="35" t="s">
        <v>622</v>
      </c>
    </row>
    <row r="22" spans="1:5" ht="29.4" thickBot="1">
      <c r="A22" s="36" t="s">
        <v>49</v>
      </c>
      <c r="B22" s="37" t="s">
        <v>50</v>
      </c>
      <c r="C22" s="37" t="s">
        <v>19</v>
      </c>
      <c r="D22" s="33">
        <v>57149</v>
      </c>
      <c r="E22" s="35" t="s">
        <v>623</v>
      </c>
    </row>
    <row r="23" spans="1:5" ht="29.4" thickBot="1">
      <c r="A23" s="36" t="s">
        <v>51</v>
      </c>
      <c r="B23" s="37" t="s">
        <v>52</v>
      </c>
      <c r="C23" s="37" t="s">
        <v>19</v>
      </c>
      <c r="D23" s="33">
        <v>90050</v>
      </c>
      <c r="E23" s="35" t="s">
        <v>624</v>
      </c>
    </row>
    <row r="24" spans="1:5" ht="29.4" thickBot="1">
      <c r="A24" s="36" t="s">
        <v>53</v>
      </c>
      <c r="B24" s="37" t="s">
        <v>54</v>
      </c>
      <c r="C24" s="37" t="s">
        <v>10</v>
      </c>
      <c r="D24" s="33">
        <v>36298</v>
      </c>
      <c r="E24" s="35" t="s">
        <v>625</v>
      </c>
    </row>
    <row r="25" spans="1:5" ht="29.4" thickBot="1">
      <c r="A25" s="36" t="s">
        <v>55</v>
      </c>
      <c r="B25" s="37" t="s">
        <v>56</v>
      </c>
      <c r="C25" s="37" t="s">
        <v>13</v>
      </c>
      <c r="D25" s="33">
        <v>88430</v>
      </c>
      <c r="E25" s="35" t="s">
        <v>626</v>
      </c>
    </row>
    <row r="26" spans="1:5" ht="29.4" thickBot="1">
      <c r="A26" s="36" t="s">
        <v>57</v>
      </c>
      <c r="B26" s="37" t="s">
        <v>58</v>
      </c>
      <c r="C26" s="37" t="s">
        <v>19</v>
      </c>
      <c r="D26" s="33">
        <v>82602</v>
      </c>
      <c r="E26" s="35" t="s">
        <v>627</v>
      </c>
    </row>
    <row r="27" spans="1:5" ht="29.4" thickBot="1">
      <c r="A27" s="36" t="s">
        <v>59</v>
      </c>
      <c r="B27" s="37" t="s">
        <v>60</v>
      </c>
      <c r="C27" s="37" t="s">
        <v>16</v>
      </c>
      <c r="D27" s="33">
        <v>64727</v>
      </c>
      <c r="E27" s="35" t="s">
        <v>628</v>
      </c>
    </row>
    <row r="28" spans="1:5" ht="29.4" thickBot="1">
      <c r="A28" s="36" t="s">
        <v>61</v>
      </c>
      <c r="B28" s="37" t="s">
        <v>62</v>
      </c>
      <c r="C28" s="37" t="s">
        <v>13</v>
      </c>
      <c r="D28" s="33">
        <v>95590</v>
      </c>
      <c r="E28" s="35" t="s">
        <v>629</v>
      </c>
    </row>
    <row r="29" spans="1:5" ht="29.4" thickBot="1">
      <c r="A29" s="36" t="s">
        <v>63</v>
      </c>
      <c r="B29" s="37" t="s">
        <v>64</v>
      </c>
      <c r="C29" s="37" t="s">
        <v>7</v>
      </c>
      <c r="D29" s="33">
        <v>68202</v>
      </c>
      <c r="E29" s="35" t="s">
        <v>630</v>
      </c>
    </row>
    <row r="30" spans="1:5" ht="29.4" thickBot="1">
      <c r="A30" s="36" t="s">
        <v>65</v>
      </c>
      <c r="B30" s="37" t="s">
        <v>66</v>
      </c>
      <c r="C30" s="37" t="s">
        <v>10</v>
      </c>
      <c r="D30" s="33">
        <v>85761</v>
      </c>
      <c r="E30" s="35" t="s">
        <v>631</v>
      </c>
    </row>
    <row r="31" spans="1:5" ht="29.4" thickBot="1">
      <c r="A31" s="36" t="s">
        <v>67</v>
      </c>
      <c r="B31" s="37" t="s">
        <v>68</v>
      </c>
      <c r="C31" s="37" t="s">
        <v>7</v>
      </c>
      <c r="D31" s="33">
        <v>49399</v>
      </c>
      <c r="E31" s="35" t="s">
        <v>632</v>
      </c>
    </row>
    <row r="32" spans="1:5" ht="29.4" thickBot="1">
      <c r="A32" s="36" t="s">
        <v>69</v>
      </c>
      <c r="B32" s="37" t="s">
        <v>70</v>
      </c>
      <c r="C32" s="37" t="s">
        <v>10</v>
      </c>
      <c r="D32" s="33">
        <v>69554</v>
      </c>
      <c r="E32" s="35" t="s">
        <v>633</v>
      </c>
    </row>
    <row r="33" spans="1:5" ht="29.4" thickBot="1">
      <c r="A33" s="36" t="s">
        <v>71</v>
      </c>
      <c r="B33" s="37" t="s">
        <v>72</v>
      </c>
      <c r="C33" s="37" t="s">
        <v>7</v>
      </c>
      <c r="D33" s="33">
        <v>83146</v>
      </c>
      <c r="E33" s="34">
        <v>43832</v>
      </c>
    </row>
    <row r="34" spans="1:5" ht="29.4" thickBot="1">
      <c r="A34" s="36" t="s">
        <v>73</v>
      </c>
      <c r="B34" s="37" t="s">
        <v>74</v>
      </c>
      <c r="C34" s="37" t="s">
        <v>19</v>
      </c>
      <c r="D34" s="33">
        <v>44383</v>
      </c>
      <c r="E34" s="34">
        <v>43863</v>
      </c>
    </row>
    <row r="35" spans="1:5" ht="29.4" thickBot="1">
      <c r="A35" s="36" t="s">
        <v>75</v>
      </c>
      <c r="B35" s="37" t="s">
        <v>76</v>
      </c>
      <c r="C35" s="37" t="s">
        <v>16</v>
      </c>
      <c r="D35" s="33">
        <v>66495</v>
      </c>
      <c r="E35" s="34">
        <v>43892</v>
      </c>
    </row>
    <row r="36" spans="1:5" ht="29.4" thickBot="1">
      <c r="A36" s="36" t="s">
        <v>77</v>
      </c>
      <c r="B36" s="37" t="s">
        <v>78</v>
      </c>
      <c r="C36" s="37" t="s">
        <v>19</v>
      </c>
      <c r="D36" s="33">
        <v>88111</v>
      </c>
      <c r="E36" s="34">
        <v>43923</v>
      </c>
    </row>
    <row r="37" spans="1:5" ht="29.4" thickBot="1">
      <c r="A37" s="36" t="s">
        <v>79</v>
      </c>
      <c r="B37" s="37" t="s">
        <v>80</v>
      </c>
      <c r="C37" s="37" t="s">
        <v>16</v>
      </c>
      <c r="D37" s="33">
        <v>76319</v>
      </c>
      <c r="E37" s="34">
        <v>43953</v>
      </c>
    </row>
    <row r="38" spans="1:5" ht="29.4" thickBot="1">
      <c r="A38" s="36" t="s">
        <v>81</v>
      </c>
      <c r="B38" s="37" t="s">
        <v>82</v>
      </c>
      <c r="C38" s="37" t="s">
        <v>10</v>
      </c>
      <c r="D38" s="33">
        <v>76486</v>
      </c>
      <c r="E38" s="34">
        <v>43984</v>
      </c>
    </row>
    <row r="39" spans="1:5" ht="29.4" thickBot="1">
      <c r="A39" s="36" t="s">
        <v>83</v>
      </c>
      <c r="B39" s="37" t="s">
        <v>84</v>
      </c>
      <c r="C39" s="37" t="s">
        <v>7</v>
      </c>
      <c r="D39" s="33">
        <v>87642</v>
      </c>
      <c r="E39" s="34">
        <v>44014</v>
      </c>
    </row>
    <row r="40" spans="1:5" ht="29.4" thickBot="1">
      <c r="A40" s="36" t="s">
        <v>85</v>
      </c>
      <c r="B40" s="37" t="s">
        <v>86</v>
      </c>
      <c r="C40" s="37" t="s">
        <v>7</v>
      </c>
      <c r="D40" s="33">
        <v>35215</v>
      </c>
      <c r="E40" s="34">
        <v>44045</v>
      </c>
    </row>
    <row r="41" spans="1:5" ht="29.4" thickBot="1">
      <c r="A41" s="36" t="s">
        <v>87</v>
      </c>
      <c r="B41" s="37" t="s">
        <v>88</v>
      </c>
      <c r="C41" s="37" t="s">
        <v>10</v>
      </c>
      <c r="D41" s="33">
        <v>92570</v>
      </c>
      <c r="E41" s="34">
        <v>44076</v>
      </c>
    </row>
    <row r="42" spans="1:5" ht="29.4" thickBot="1">
      <c r="A42" s="36" t="s">
        <v>89</v>
      </c>
      <c r="B42" s="37" t="s">
        <v>90</v>
      </c>
      <c r="C42" s="37" t="s">
        <v>7</v>
      </c>
      <c r="D42" s="33">
        <v>41892</v>
      </c>
      <c r="E42" s="34">
        <v>44106</v>
      </c>
    </row>
    <row r="43" spans="1:5" ht="29.4" thickBot="1">
      <c r="A43" s="36" t="s">
        <v>91</v>
      </c>
      <c r="B43" s="37" t="s">
        <v>92</v>
      </c>
      <c r="C43" s="37" t="s">
        <v>19</v>
      </c>
      <c r="D43" s="33">
        <v>67821</v>
      </c>
      <c r="E43" s="34">
        <v>44137</v>
      </c>
    </row>
    <row r="44" spans="1:5" ht="29.4" thickBot="1">
      <c r="A44" s="36" t="s">
        <v>93</v>
      </c>
      <c r="B44" s="37" t="s">
        <v>94</v>
      </c>
      <c r="C44" s="37" t="s">
        <v>10</v>
      </c>
      <c r="D44" s="33">
        <v>82560</v>
      </c>
      <c r="E44" s="34">
        <v>44167</v>
      </c>
    </row>
    <row r="45" spans="1:5" ht="29.4" thickBot="1">
      <c r="A45" s="36" t="s">
        <v>95</v>
      </c>
      <c r="B45" s="37" t="s">
        <v>96</v>
      </c>
      <c r="C45" s="37" t="s">
        <v>13</v>
      </c>
      <c r="D45" s="33">
        <v>53324</v>
      </c>
      <c r="E45" s="35" t="s">
        <v>634</v>
      </c>
    </row>
    <row r="46" spans="1:5" ht="29.4" thickBot="1">
      <c r="A46" s="36" t="s">
        <v>97</v>
      </c>
      <c r="B46" s="37" t="s">
        <v>98</v>
      </c>
      <c r="C46" s="37" t="s">
        <v>19</v>
      </c>
      <c r="D46" s="33">
        <v>80107</v>
      </c>
      <c r="E46" s="35" t="s">
        <v>635</v>
      </c>
    </row>
    <row r="47" spans="1:5" ht="29.4" thickBot="1">
      <c r="A47" s="36" t="s">
        <v>99</v>
      </c>
      <c r="B47" s="37" t="s">
        <v>100</v>
      </c>
      <c r="C47" s="37" t="s">
        <v>10</v>
      </c>
      <c r="D47" s="33">
        <v>87517</v>
      </c>
      <c r="E47" s="35" t="s">
        <v>636</v>
      </c>
    </row>
    <row r="48" spans="1:5" ht="29.4" thickBot="1">
      <c r="A48" s="36" t="s">
        <v>101</v>
      </c>
      <c r="B48" s="37" t="s">
        <v>102</v>
      </c>
      <c r="C48" s="37" t="s">
        <v>19</v>
      </c>
      <c r="D48" s="33">
        <v>85636</v>
      </c>
      <c r="E48" s="35" t="s">
        <v>637</v>
      </c>
    </row>
    <row r="49" spans="1:5" ht="29.4" thickBot="1">
      <c r="A49" s="36" t="s">
        <v>103</v>
      </c>
      <c r="B49" s="37" t="s">
        <v>104</v>
      </c>
      <c r="C49" s="37" t="s">
        <v>19</v>
      </c>
      <c r="D49" s="33">
        <v>56908</v>
      </c>
      <c r="E49" s="35" t="s">
        <v>638</v>
      </c>
    </row>
    <row r="50" spans="1:5" ht="29.4" thickBot="1">
      <c r="A50" s="36" t="s">
        <v>105</v>
      </c>
      <c r="B50" s="37" t="s">
        <v>106</v>
      </c>
      <c r="C50" s="37" t="s">
        <v>16</v>
      </c>
      <c r="D50" s="33">
        <v>88072</v>
      </c>
      <c r="E50" s="35" t="s">
        <v>639</v>
      </c>
    </row>
    <row r="51" spans="1:5" ht="29.4" thickBot="1">
      <c r="A51" s="36" t="s">
        <v>107</v>
      </c>
      <c r="B51" s="37" t="s">
        <v>108</v>
      </c>
      <c r="C51" s="37" t="s">
        <v>13</v>
      </c>
      <c r="D51" s="33">
        <v>80813</v>
      </c>
      <c r="E51" s="35" t="s">
        <v>640</v>
      </c>
    </row>
    <row r="52" spans="1:5" ht="29.4" thickBot="1">
      <c r="A52" s="36" t="s">
        <v>641</v>
      </c>
      <c r="B52" s="37" t="s">
        <v>642</v>
      </c>
      <c r="C52" s="37" t="s">
        <v>19</v>
      </c>
      <c r="D52" s="33">
        <v>89083</v>
      </c>
      <c r="E52" s="35" t="s">
        <v>643</v>
      </c>
    </row>
    <row r="53" spans="1:5" ht="29.4" thickBot="1">
      <c r="A53" s="36" t="s">
        <v>644</v>
      </c>
      <c r="B53" s="37" t="s">
        <v>645</v>
      </c>
      <c r="C53" s="37" t="s">
        <v>16</v>
      </c>
      <c r="D53" s="33">
        <v>73443</v>
      </c>
      <c r="E53" s="35" t="s">
        <v>646</v>
      </c>
    </row>
    <row r="54" spans="1:5" ht="29.4" thickBot="1">
      <c r="A54" s="36" t="s">
        <v>647</v>
      </c>
      <c r="B54" s="37" t="s">
        <v>648</v>
      </c>
      <c r="C54" s="37" t="s">
        <v>16</v>
      </c>
      <c r="D54" s="33">
        <v>69633</v>
      </c>
      <c r="E54" s="35" t="s">
        <v>649</v>
      </c>
    </row>
    <row r="55" spans="1:5" ht="29.4" thickBot="1">
      <c r="A55" s="36" t="s">
        <v>650</v>
      </c>
      <c r="B55" s="37" t="s">
        <v>651</v>
      </c>
      <c r="C55" s="37" t="s">
        <v>10</v>
      </c>
      <c r="D55" s="33">
        <v>97712</v>
      </c>
      <c r="E55" s="35" t="s">
        <v>652</v>
      </c>
    </row>
    <row r="56" spans="1:5" ht="29.4" thickBot="1">
      <c r="A56" s="36" t="s">
        <v>653</v>
      </c>
      <c r="B56" s="37" t="s">
        <v>654</v>
      </c>
      <c r="C56" s="37" t="s">
        <v>13</v>
      </c>
      <c r="D56" s="33">
        <v>40753</v>
      </c>
      <c r="E56" s="35" t="s">
        <v>655</v>
      </c>
    </row>
    <row r="57" spans="1:5" ht="29.4" thickBot="1">
      <c r="A57" s="36" t="s">
        <v>656</v>
      </c>
      <c r="B57" s="37" t="s">
        <v>657</v>
      </c>
      <c r="C57" s="37" t="s">
        <v>19</v>
      </c>
      <c r="D57" s="33">
        <v>91535</v>
      </c>
      <c r="E57" s="35" t="s">
        <v>658</v>
      </c>
    </row>
    <row r="58" spans="1:5" ht="29.4" thickBot="1">
      <c r="A58" s="36" t="s">
        <v>659</v>
      </c>
      <c r="B58" s="37" t="s">
        <v>660</v>
      </c>
      <c r="C58" s="37" t="s">
        <v>10</v>
      </c>
      <c r="D58" s="33">
        <v>34899</v>
      </c>
      <c r="E58" s="35" t="s">
        <v>661</v>
      </c>
    </row>
    <row r="59" spans="1:5" ht="29.4" thickBot="1">
      <c r="A59" s="36" t="s">
        <v>662</v>
      </c>
      <c r="B59" s="37" t="s">
        <v>663</v>
      </c>
      <c r="C59" s="37" t="s">
        <v>10</v>
      </c>
      <c r="D59" s="33">
        <v>83090</v>
      </c>
      <c r="E59" s="35" t="s">
        <v>664</v>
      </c>
    </row>
    <row r="60" spans="1:5" ht="29.4" thickBot="1">
      <c r="A60" s="36" t="s">
        <v>665</v>
      </c>
      <c r="B60" s="37" t="s">
        <v>666</v>
      </c>
      <c r="C60" s="37" t="s">
        <v>13</v>
      </c>
      <c r="D60" s="33">
        <v>58057</v>
      </c>
      <c r="E60" s="35" t="s">
        <v>667</v>
      </c>
    </row>
    <row r="61" spans="1:5" ht="29.4" thickBot="1">
      <c r="A61" s="36" t="s">
        <v>668</v>
      </c>
      <c r="B61" s="37" t="s">
        <v>669</v>
      </c>
      <c r="C61" s="37" t="s">
        <v>16</v>
      </c>
      <c r="D61" s="33">
        <v>40253</v>
      </c>
      <c r="E61" s="35" t="s">
        <v>670</v>
      </c>
    </row>
    <row r="62" spans="1:5" ht="29.4" thickBot="1">
      <c r="A62" s="36" t="s">
        <v>671</v>
      </c>
      <c r="B62" s="37" t="s">
        <v>672</v>
      </c>
      <c r="C62" s="37" t="s">
        <v>10</v>
      </c>
      <c r="D62" s="33">
        <v>83023</v>
      </c>
      <c r="E62" s="34">
        <v>43833</v>
      </c>
    </row>
    <row r="63" spans="1:5" ht="29.4" thickBot="1">
      <c r="A63" s="36" t="s">
        <v>673</v>
      </c>
      <c r="B63" s="37" t="s">
        <v>674</v>
      </c>
      <c r="C63" s="37" t="s">
        <v>13</v>
      </c>
      <c r="D63" s="33">
        <v>91209</v>
      </c>
      <c r="E63" s="34">
        <v>43864</v>
      </c>
    </row>
    <row r="64" spans="1:5" ht="29.4" thickBot="1">
      <c r="A64" s="36" t="s">
        <v>675</v>
      </c>
      <c r="B64" s="37" t="s">
        <v>676</v>
      </c>
      <c r="C64" s="37" t="s">
        <v>7</v>
      </c>
      <c r="D64" s="33">
        <v>57966</v>
      </c>
      <c r="E64" s="34">
        <v>43893</v>
      </c>
    </row>
    <row r="65" spans="1:5" ht="29.4" thickBot="1">
      <c r="A65" s="36" t="s">
        <v>677</v>
      </c>
      <c r="B65" s="37" t="s">
        <v>678</v>
      </c>
      <c r="C65" s="37" t="s">
        <v>16</v>
      </c>
      <c r="D65" s="33">
        <v>62242</v>
      </c>
      <c r="E65" s="34">
        <v>43924</v>
      </c>
    </row>
    <row r="66" spans="1:5" ht="29.4" thickBot="1">
      <c r="A66" s="36" t="s">
        <v>679</v>
      </c>
      <c r="B66" s="37" t="s">
        <v>680</v>
      </c>
      <c r="C66" s="37" t="s">
        <v>7</v>
      </c>
      <c r="D66" s="33">
        <v>90557</v>
      </c>
      <c r="E66" s="34">
        <v>43954</v>
      </c>
    </row>
    <row r="67" spans="1:5" ht="29.4" thickBot="1">
      <c r="A67" s="36" t="s">
        <v>681</v>
      </c>
      <c r="B67" s="37" t="s">
        <v>682</v>
      </c>
      <c r="C67" s="37" t="s">
        <v>19</v>
      </c>
      <c r="D67" s="33">
        <v>50230</v>
      </c>
      <c r="E67" s="34">
        <v>43985</v>
      </c>
    </row>
    <row r="68" spans="1:5" ht="29.4" thickBot="1">
      <c r="A68" s="36" t="s">
        <v>683</v>
      </c>
      <c r="B68" s="37" t="s">
        <v>684</v>
      </c>
      <c r="C68" s="37" t="s">
        <v>10</v>
      </c>
      <c r="D68" s="33">
        <v>68110</v>
      </c>
      <c r="E68" s="34">
        <v>44015</v>
      </c>
    </row>
    <row r="69" spans="1:5" ht="29.4" thickBot="1">
      <c r="A69" s="36" t="s">
        <v>685</v>
      </c>
      <c r="B69" s="37" t="s">
        <v>686</v>
      </c>
      <c r="C69" s="37" t="s">
        <v>13</v>
      </c>
      <c r="D69" s="33">
        <v>82443</v>
      </c>
      <c r="E69" s="34">
        <v>44046</v>
      </c>
    </row>
    <row r="70" spans="1:5" ht="29.4" thickBot="1">
      <c r="A70" s="36" t="s">
        <v>687</v>
      </c>
      <c r="B70" s="37" t="s">
        <v>688</v>
      </c>
      <c r="C70" s="37" t="s">
        <v>19</v>
      </c>
      <c r="D70" s="33">
        <v>47057</v>
      </c>
      <c r="E70" s="34">
        <v>44077</v>
      </c>
    </row>
    <row r="71" spans="1:5" ht="29.4" thickBot="1">
      <c r="A71" s="36" t="s">
        <v>689</v>
      </c>
      <c r="B71" s="37" t="s">
        <v>690</v>
      </c>
      <c r="C71" s="37" t="s">
        <v>16</v>
      </c>
      <c r="D71" s="33">
        <v>32425</v>
      </c>
      <c r="E71" s="34">
        <v>44107</v>
      </c>
    </row>
    <row r="72" spans="1:5" ht="29.4" thickBot="1">
      <c r="A72" s="36" t="s">
        <v>691</v>
      </c>
      <c r="B72" s="37" t="s">
        <v>692</v>
      </c>
      <c r="C72" s="37" t="s">
        <v>19</v>
      </c>
      <c r="D72" s="33">
        <v>80828</v>
      </c>
      <c r="E72" s="34">
        <v>44138</v>
      </c>
    </row>
    <row r="73" spans="1:5" ht="29.4" thickBot="1">
      <c r="A73" s="36" t="s">
        <v>693</v>
      </c>
      <c r="B73" s="37" t="s">
        <v>694</v>
      </c>
      <c r="C73" s="37" t="s">
        <v>10</v>
      </c>
      <c r="D73" s="33">
        <v>49548</v>
      </c>
      <c r="E73" s="34">
        <v>44168</v>
      </c>
    </row>
    <row r="74" spans="1:5" ht="29.4" thickBot="1">
      <c r="A74" s="36" t="s">
        <v>695</v>
      </c>
      <c r="B74" s="37" t="s">
        <v>696</v>
      </c>
      <c r="C74" s="37" t="s">
        <v>16</v>
      </c>
      <c r="D74" s="33">
        <v>78130</v>
      </c>
      <c r="E74" s="35" t="s">
        <v>697</v>
      </c>
    </row>
    <row r="75" spans="1:5" ht="29.4" thickBot="1">
      <c r="A75" s="36" t="s">
        <v>698</v>
      </c>
      <c r="B75" s="37" t="s">
        <v>699</v>
      </c>
      <c r="C75" s="37" t="s">
        <v>13</v>
      </c>
      <c r="D75" s="33">
        <v>84910</v>
      </c>
      <c r="E75" s="35" t="s">
        <v>700</v>
      </c>
    </row>
    <row r="76" spans="1:5" ht="29.4" thickBot="1">
      <c r="A76" s="36" t="s">
        <v>701</v>
      </c>
      <c r="B76" s="37" t="s">
        <v>702</v>
      </c>
      <c r="C76" s="37" t="s">
        <v>19</v>
      </c>
      <c r="D76" s="33">
        <v>60703</v>
      </c>
      <c r="E76" s="35" t="s">
        <v>703</v>
      </c>
    </row>
    <row r="77" spans="1:5" ht="29.4" thickBot="1">
      <c r="A77" s="36" t="s">
        <v>704</v>
      </c>
      <c r="B77" s="37" t="s">
        <v>705</v>
      </c>
      <c r="C77" s="37" t="s">
        <v>16</v>
      </c>
      <c r="D77" s="33">
        <v>40726</v>
      </c>
      <c r="E77" s="35" t="s">
        <v>706</v>
      </c>
    </row>
    <row r="78" spans="1:5" ht="29.4" thickBot="1">
      <c r="A78" s="36" t="s">
        <v>707</v>
      </c>
      <c r="B78" s="37" t="s">
        <v>708</v>
      </c>
      <c r="C78" s="37" t="s">
        <v>10</v>
      </c>
      <c r="D78" s="33">
        <v>99243</v>
      </c>
      <c r="E78" s="35" t="s">
        <v>709</v>
      </c>
    </row>
    <row r="79" spans="1:5" ht="29.4" thickBot="1">
      <c r="A79" s="36" t="s">
        <v>710</v>
      </c>
      <c r="B79" s="37" t="s">
        <v>711</v>
      </c>
      <c r="C79" s="37" t="s">
        <v>16</v>
      </c>
      <c r="D79" s="33">
        <v>39776</v>
      </c>
      <c r="E79" s="35" t="s">
        <v>712</v>
      </c>
    </row>
    <row r="80" spans="1:5" ht="29.4" thickBot="1">
      <c r="A80" s="36" t="s">
        <v>713</v>
      </c>
      <c r="B80" s="37" t="s">
        <v>714</v>
      </c>
      <c r="C80" s="37" t="s">
        <v>10</v>
      </c>
      <c r="D80" s="33">
        <v>94701</v>
      </c>
      <c r="E80" s="35" t="s">
        <v>715</v>
      </c>
    </row>
    <row r="81" spans="1:5" ht="29.4" thickBot="1">
      <c r="A81" s="36" t="s">
        <v>716</v>
      </c>
      <c r="B81" s="37" t="s">
        <v>717</v>
      </c>
      <c r="C81" s="37" t="s">
        <v>7</v>
      </c>
      <c r="D81" s="33">
        <v>31035</v>
      </c>
      <c r="E81" s="35" t="s">
        <v>718</v>
      </c>
    </row>
    <row r="82" spans="1:5" ht="29.4" thickBot="1">
      <c r="A82" s="36" t="s">
        <v>719</v>
      </c>
      <c r="B82" s="37" t="s">
        <v>720</v>
      </c>
      <c r="C82" s="37" t="s">
        <v>13</v>
      </c>
      <c r="D82" s="33">
        <v>61449</v>
      </c>
      <c r="E82" s="35" t="s">
        <v>721</v>
      </c>
    </row>
    <row r="83" spans="1:5" ht="29.4" thickBot="1">
      <c r="A83" s="36" t="s">
        <v>722</v>
      </c>
      <c r="B83" s="37" t="s">
        <v>723</v>
      </c>
      <c r="C83" s="37" t="s">
        <v>7</v>
      </c>
      <c r="D83" s="33">
        <v>37950</v>
      </c>
      <c r="E83" s="35" t="s">
        <v>724</v>
      </c>
    </row>
    <row r="84" spans="1:5" ht="29.4" thickBot="1">
      <c r="A84" s="36" t="s">
        <v>725</v>
      </c>
      <c r="B84" s="37" t="s">
        <v>726</v>
      </c>
      <c r="C84" s="37" t="s">
        <v>19</v>
      </c>
      <c r="D84" s="33">
        <v>97260</v>
      </c>
      <c r="E84" s="35" t="s">
        <v>727</v>
      </c>
    </row>
    <row r="85" spans="1:5" ht="29.4" thickBot="1">
      <c r="A85" s="36" t="s">
        <v>728</v>
      </c>
      <c r="B85" s="37" t="s">
        <v>729</v>
      </c>
      <c r="C85" s="37" t="s">
        <v>7</v>
      </c>
      <c r="D85" s="33">
        <v>83535</v>
      </c>
      <c r="E85" s="35" t="s">
        <v>730</v>
      </c>
    </row>
    <row r="86" spans="1:5" ht="29.4" thickBot="1">
      <c r="A86" s="36" t="s">
        <v>731</v>
      </c>
      <c r="B86" s="37" t="s">
        <v>732</v>
      </c>
      <c r="C86" s="37" t="s">
        <v>13</v>
      </c>
      <c r="D86" s="33">
        <v>68970</v>
      </c>
      <c r="E86" s="35" t="s">
        <v>733</v>
      </c>
    </row>
    <row r="87" spans="1:5" ht="29.4" thickBot="1">
      <c r="A87" s="36" t="s">
        <v>734</v>
      </c>
      <c r="B87" s="37" t="s">
        <v>735</v>
      </c>
      <c r="C87" s="37" t="s">
        <v>19</v>
      </c>
      <c r="D87" s="33">
        <v>74637</v>
      </c>
      <c r="E87" s="35" t="s">
        <v>736</v>
      </c>
    </row>
    <row r="88" spans="1:5" ht="29.4" thickBot="1">
      <c r="A88" s="36" t="s">
        <v>737</v>
      </c>
      <c r="B88" s="37" t="s">
        <v>738</v>
      </c>
      <c r="C88" s="37" t="s">
        <v>7</v>
      </c>
      <c r="D88" s="33">
        <v>68350</v>
      </c>
      <c r="E88" s="35" t="s">
        <v>739</v>
      </c>
    </row>
    <row r="89" spans="1:5" ht="29.4" thickBot="1">
      <c r="A89" s="36" t="s">
        <v>740</v>
      </c>
      <c r="B89" s="37" t="s">
        <v>741</v>
      </c>
      <c r="C89" s="37" t="s">
        <v>7</v>
      </c>
      <c r="D89" s="33">
        <v>88774</v>
      </c>
      <c r="E89" s="35" t="s">
        <v>742</v>
      </c>
    </row>
    <row r="90" spans="1:5" ht="29.4" thickBot="1">
      <c r="A90" s="36" t="s">
        <v>743</v>
      </c>
      <c r="B90" s="37" t="s">
        <v>744</v>
      </c>
      <c r="C90" s="37" t="s">
        <v>16</v>
      </c>
      <c r="D90" s="33">
        <v>61854</v>
      </c>
      <c r="E90" s="35" t="s">
        <v>745</v>
      </c>
    </row>
    <row r="91" spans="1:5" ht="29.4" thickBot="1">
      <c r="A91" s="36" t="s">
        <v>746</v>
      </c>
      <c r="B91" s="37" t="s">
        <v>747</v>
      </c>
      <c r="C91" s="37" t="s">
        <v>7</v>
      </c>
      <c r="D91" s="33">
        <v>92596</v>
      </c>
      <c r="E91" s="35" t="s">
        <v>748</v>
      </c>
    </row>
    <row r="92" spans="1:5" ht="29.4" thickBot="1">
      <c r="A92" s="36" t="s">
        <v>749</v>
      </c>
      <c r="B92" s="37" t="s">
        <v>750</v>
      </c>
      <c r="C92" s="37" t="s">
        <v>7</v>
      </c>
      <c r="D92" s="33">
        <v>43849</v>
      </c>
      <c r="E92" s="35" t="s">
        <v>751</v>
      </c>
    </row>
    <row r="93" spans="1:5" ht="29.4" thickBot="1">
      <c r="A93" s="36" t="s">
        <v>752</v>
      </c>
      <c r="B93" s="37" t="s">
        <v>753</v>
      </c>
      <c r="C93" s="37" t="s">
        <v>19</v>
      </c>
      <c r="D93" s="33">
        <v>45185</v>
      </c>
      <c r="E93" s="34">
        <v>43834</v>
      </c>
    </row>
    <row r="94" spans="1:5" ht="29.4" thickBot="1">
      <c r="A94" s="36" t="s">
        <v>754</v>
      </c>
      <c r="B94" s="37" t="s">
        <v>755</v>
      </c>
      <c r="C94" s="37" t="s">
        <v>10</v>
      </c>
      <c r="D94" s="33">
        <v>30608</v>
      </c>
      <c r="E94" s="34">
        <v>43865</v>
      </c>
    </row>
    <row r="95" spans="1:5" ht="29.4" thickBot="1">
      <c r="A95" s="36" t="s">
        <v>756</v>
      </c>
      <c r="B95" s="37" t="s">
        <v>757</v>
      </c>
      <c r="C95" s="37" t="s">
        <v>10</v>
      </c>
      <c r="D95" s="33">
        <v>55236</v>
      </c>
      <c r="E95" s="34">
        <v>43894</v>
      </c>
    </row>
    <row r="96" spans="1:5" ht="29.4" thickBot="1">
      <c r="A96" s="36" t="s">
        <v>758</v>
      </c>
      <c r="B96" s="37" t="s">
        <v>759</v>
      </c>
      <c r="C96" s="37" t="s">
        <v>16</v>
      </c>
      <c r="D96" s="33">
        <v>94519</v>
      </c>
      <c r="E96" s="34">
        <v>43925</v>
      </c>
    </row>
    <row r="97" spans="1:5" ht="29.4" thickBot="1">
      <c r="A97" s="36" t="s">
        <v>760</v>
      </c>
      <c r="B97" s="37" t="s">
        <v>761</v>
      </c>
      <c r="C97" s="37" t="s">
        <v>16</v>
      </c>
      <c r="D97" s="33">
        <v>65864</v>
      </c>
      <c r="E97" s="34">
        <v>43955</v>
      </c>
    </row>
    <row r="98" spans="1:5" ht="29.4" thickBot="1">
      <c r="A98" s="36" t="s">
        <v>762</v>
      </c>
      <c r="B98" s="37" t="s">
        <v>763</v>
      </c>
      <c r="C98" s="37" t="s">
        <v>19</v>
      </c>
      <c r="D98" s="33">
        <v>30336</v>
      </c>
      <c r="E98" s="34">
        <v>43986</v>
      </c>
    </row>
    <row r="99" spans="1:5" ht="29.4" thickBot="1">
      <c r="A99" s="36" t="s">
        <v>764</v>
      </c>
      <c r="B99" s="37" t="s">
        <v>765</v>
      </c>
      <c r="C99" s="37" t="s">
        <v>16</v>
      </c>
      <c r="D99" s="33">
        <v>42351</v>
      </c>
      <c r="E99" s="34">
        <v>44016</v>
      </c>
    </row>
    <row r="100" spans="1:5" ht="29.4" thickBot="1">
      <c r="A100" s="36" t="s">
        <v>766</v>
      </c>
      <c r="B100" s="37" t="s">
        <v>767</v>
      </c>
      <c r="C100" s="37" t="s">
        <v>19</v>
      </c>
      <c r="D100" s="33">
        <v>76360</v>
      </c>
      <c r="E100" s="34">
        <v>44047</v>
      </c>
    </row>
    <row r="101" spans="1:5" ht="29.4" thickBot="1">
      <c r="A101" s="36" t="s">
        <v>768</v>
      </c>
      <c r="B101" s="37" t="s">
        <v>769</v>
      </c>
      <c r="C101" s="37" t="s">
        <v>19</v>
      </c>
      <c r="D101" s="33">
        <v>50478</v>
      </c>
      <c r="E101" s="34">
        <v>44078</v>
      </c>
    </row>
    <row r="102" spans="1:5" ht="29.4" thickBot="1">
      <c r="A102" s="36" t="s">
        <v>157</v>
      </c>
      <c r="B102" s="37" t="s">
        <v>770</v>
      </c>
      <c r="C102" s="37" t="s">
        <v>10</v>
      </c>
      <c r="D102" s="33">
        <v>39072</v>
      </c>
      <c r="E102" s="34">
        <v>44108</v>
      </c>
    </row>
    <row r="103" spans="1:5" ht="29.4" thickBot="1">
      <c r="A103" s="36" t="s">
        <v>158</v>
      </c>
      <c r="B103" s="37" t="s">
        <v>771</v>
      </c>
      <c r="C103" s="37" t="s">
        <v>19</v>
      </c>
      <c r="D103" s="33">
        <v>76249</v>
      </c>
      <c r="E103" s="34">
        <v>44139</v>
      </c>
    </row>
    <row r="104" spans="1:5" ht="29.4" thickBot="1">
      <c r="A104" s="36" t="s">
        <v>159</v>
      </c>
      <c r="B104" s="37" t="s">
        <v>772</v>
      </c>
      <c r="C104" s="37" t="s">
        <v>10</v>
      </c>
      <c r="D104" s="33">
        <v>50574</v>
      </c>
      <c r="E104" s="34">
        <v>44169</v>
      </c>
    </row>
    <row r="105" spans="1:5" ht="29.4" thickBot="1">
      <c r="A105" s="36" t="s">
        <v>160</v>
      </c>
      <c r="B105" s="37" t="s">
        <v>773</v>
      </c>
      <c r="C105" s="37" t="s">
        <v>7</v>
      </c>
      <c r="D105" s="33">
        <v>71785</v>
      </c>
      <c r="E105" s="35" t="s">
        <v>774</v>
      </c>
    </row>
    <row r="106" spans="1:5" ht="29.4" thickBot="1">
      <c r="A106" s="36" t="s">
        <v>775</v>
      </c>
      <c r="B106" s="37" t="s">
        <v>776</v>
      </c>
      <c r="C106" s="37" t="s">
        <v>10</v>
      </c>
      <c r="D106" s="33">
        <v>87816</v>
      </c>
      <c r="E106" s="35" t="s">
        <v>777</v>
      </c>
    </row>
    <row r="107" spans="1:5" ht="29.4" thickBot="1">
      <c r="A107" s="36" t="s">
        <v>161</v>
      </c>
      <c r="B107" s="37" t="s">
        <v>778</v>
      </c>
      <c r="C107" s="37" t="s">
        <v>19</v>
      </c>
      <c r="D107" s="33">
        <v>59629</v>
      </c>
      <c r="E107" s="35" t="s">
        <v>779</v>
      </c>
    </row>
    <row r="108" spans="1:5" ht="29.4" thickBot="1">
      <c r="A108" s="36" t="s">
        <v>162</v>
      </c>
      <c r="B108" s="37" t="s">
        <v>780</v>
      </c>
      <c r="C108" s="37" t="s">
        <v>10</v>
      </c>
      <c r="D108" s="33">
        <v>77397</v>
      </c>
      <c r="E108" s="35" t="s">
        <v>781</v>
      </c>
    </row>
    <row r="109" spans="1:5" ht="29.4" thickBot="1">
      <c r="A109" s="36" t="s">
        <v>163</v>
      </c>
      <c r="B109" s="37" t="s">
        <v>782</v>
      </c>
      <c r="C109" s="37" t="s">
        <v>7</v>
      </c>
      <c r="D109" s="33">
        <v>76856</v>
      </c>
      <c r="E109" s="35" t="s">
        <v>783</v>
      </c>
    </row>
    <row r="110" spans="1:5" ht="29.4" thickBot="1">
      <c r="A110" s="36" t="s">
        <v>164</v>
      </c>
      <c r="B110" s="37" t="s">
        <v>784</v>
      </c>
      <c r="C110" s="37" t="s">
        <v>7</v>
      </c>
      <c r="D110" s="33">
        <v>97312</v>
      </c>
      <c r="E110" s="35" t="s">
        <v>785</v>
      </c>
    </row>
    <row r="111" spans="1:5" ht="29.4" thickBot="1">
      <c r="A111" s="36" t="s">
        <v>786</v>
      </c>
      <c r="B111" s="37" t="s">
        <v>787</v>
      </c>
      <c r="C111" s="37" t="s">
        <v>16</v>
      </c>
      <c r="D111" s="33">
        <v>77636</v>
      </c>
      <c r="E111" s="35" t="s">
        <v>788</v>
      </c>
    </row>
    <row r="112" spans="1:5" ht="29.4" thickBot="1">
      <c r="A112" s="36" t="s">
        <v>165</v>
      </c>
      <c r="B112" s="37" t="s">
        <v>789</v>
      </c>
      <c r="C112" s="37" t="s">
        <v>19</v>
      </c>
      <c r="D112" s="33">
        <v>77049</v>
      </c>
      <c r="E112" s="35" t="s">
        <v>790</v>
      </c>
    </row>
    <row r="113" spans="1:5" ht="29.4" thickBot="1">
      <c r="A113" s="36" t="s">
        <v>166</v>
      </c>
      <c r="B113" s="37" t="s">
        <v>791</v>
      </c>
      <c r="C113" s="37" t="s">
        <v>10</v>
      </c>
      <c r="D113" s="33">
        <v>30086</v>
      </c>
      <c r="E113" s="35" t="s">
        <v>792</v>
      </c>
    </row>
    <row r="114" spans="1:5" ht="29.4" thickBot="1">
      <c r="A114" s="36" t="s">
        <v>167</v>
      </c>
      <c r="B114" s="37" t="s">
        <v>793</v>
      </c>
      <c r="C114" s="37" t="s">
        <v>19</v>
      </c>
      <c r="D114" s="33">
        <v>57542</v>
      </c>
      <c r="E114" s="35" t="s">
        <v>794</v>
      </c>
    </row>
    <row r="115" spans="1:5" ht="29.4" thickBot="1">
      <c r="A115" s="36" t="s">
        <v>168</v>
      </c>
      <c r="B115" s="37" t="s">
        <v>795</v>
      </c>
      <c r="C115" s="37" t="s">
        <v>7</v>
      </c>
      <c r="D115" s="33">
        <v>40755</v>
      </c>
      <c r="E115" s="35" t="s">
        <v>796</v>
      </c>
    </row>
    <row r="116" spans="1:5" ht="29.4" thickBot="1">
      <c r="A116" s="36" t="s">
        <v>797</v>
      </c>
      <c r="B116" s="37" t="s">
        <v>798</v>
      </c>
      <c r="C116" s="37" t="s">
        <v>7</v>
      </c>
      <c r="D116" s="33">
        <v>54585</v>
      </c>
      <c r="E116" s="35" t="s">
        <v>799</v>
      </c>
    </row>
    <row r="117" spans="1:5" ht="29.4" thickBot="1">
      <c r="A117" s="36" t="s">
        <v>169</v>
      </c>
      <c r="B117" s="37" t="s">
        <v>800</v>
      </c>
      <c r="C117" s="37" t="s">
        <v>19</v>
      </c>
      <c r="D117" s="33">
        <v>40312</v>
      </c>
      <c r="E117" s="35" t="s">
        <v>801</v>
      </c>
    </row>
    <row r="118" spans="1:5" ht="29.4" thickBot="1">
      <c r="A118" s="36" t="s">
        <v>170</v>
      </c>
      <c r="B118" s="37" t="s">
        <v>802</v>
      </c>
      <c r="C118" s="37" t="s">
        <v>10</v>
      </c>
      <c r="D118" s="33">
        <v>97147</v>
      </c>
      <c r="E118" s="35" t="s">
        <v>803</v>
      </c>
    </row>
    <row r="119" spans="1:5" ht="29.4" thickBot="1">
      <c r="A119" s="36" t="s">
        <v>171</v>
      </c>
      <c r="B119" s="37" t="s">
        <v>804</v>
      </c>
      <c r="C119" s="37" t="s">
        <v>19</v>
      </c>
      <c r="D119" s="33">
        <v>30899</v>
      </c>
      <c r="E119" s="35" t="s">
        <v>805</v>
      </c>
    </row>
    <row r="120" spans="1:5" ht="29.4" thickBot="1">
      <c r="A120" s="36" t="s">
        <v>172</v>
      </c>
      <c r="B120" s="37" t="s">
        <v>806</v>
      </c>
      <c r="C120" s="37" t="s">
        <v>16</v>
      </c>
      <c r="D120" s="33">
        <v>68412</v>
      </c>
      <c r="E120" s="35" t="s">
        <v>807</v>
      </c>
    </row>
    <row r="121" spans="1:5" ht="29.4" thickBot="1">
      <c r="A121" s="36" t="s">
        <v>808</v>
      </c>
      <c r="B121" s="37" t="s">
        <v>809</v>
      </c>
      <c r="C121" s="37" t="s">
        <v>16</v>
      </c>
      <c r="D121" s="33">
        <v>70378</v>
      </c>
      <c r="E121" s="35" t="s">
        <v>810</v>
      </c>
    </row>
    <row r="122" spans="1:5" ht="29.4" thickBot="1">
      <c r="A122" s="36" t="s">
        <v>811</v>
      </c>
      <c r="B122" s="37" t="s">
        <v>812</v>
      </c>
      <c r="C122" s="37" t="s">
        <v>19</v>
      </c>
      <c r="D122" s="33">
        <v>75713</v>
      </c>
      <c r="E122" s="35" t="s">
        <v>813</v>
      </c>
    </row>
    <row r="123" spans="1:5" ht="29.4" thickBot="1">
      <c r="A123" s="36" t="s">
        <v>814</v>
      </c>
      <c r="B123" s="37" t="s">
        <v>815</v>
      </c>
      <c r="C123" s="37" t="s">
        <v>16</v>
      </c>
      <c r="D123" s="33">
        <v>59280</v>
      </c>
      <c r="E123" s="34">
        <v>43835</v>
      </c>
    </row>
    <row r="124" spans="1:5" ht="29.4" thickBot="1">
      <c r="A124" s="36" t="s">
        <v>816</v>
      </c>
      <c r="B124" s="37" t="s">
        <v>817</v>
      </c>
      <c r="C124" s="37" t="s">
        <v>10</v>
      </c>
      <c r="D124" s="33">
        <v>93951</v>
      </c>
      <c r="E124" s="34">
        <v>43866</v>
      </c>
    </row>
    <row r="125" spans="1:5" ht="29.4" thickBot="1">
      <c r="A125" s="36" t="s">
        <v>818</v>
      </c>
      <c r="B125" s="37" t="s">
        <v>819</v>
      </c>
      <c r="C125" s="37" t="s">
        <v>7</v>
      </c>
      <c r="D125" s="33">
        <v>60459</v>
      </c>
      <c r="E125" s="34">
        <v>43895</v>
      </c>
    </row>
    <row r="126" spans="1:5" ht="29.4" thickBot="1">
      <c r="A126" s="36" t="s">
        <v>820</v>
      </c>
      <c r="B126" s="37" t="s">
        <v>821</v>
      </c>
      <c r="C126" s="37" t="s">
        <v>19</v>
      </c>
      <c r="D126" s="33">
        <v>89347</v>
      </c>
      <c r="E126" s="34">
        <v>43926</v>
      </c>
    </row>
    <row r="127" spans="1:5" ht="29.4" thickBot="1">
      <c r="A127" s="36" t="s">
        <v>822</v>
      </c>
      <c r="B127" s="37" t="s">
        <v>823</v>
      </c>
      <c r="C127" s="37" t="s">
        <v>16</v>
      </c>
      <c r="D127" s="33">
        <v>82581</v>
      </c>
      <c r="E127" s="34">
        <v>43956</v>
      </c>
    </row>
    <row r="128" spans="1:5" ht="29.4" thickBot="1">
      <c r="A128" s="36" t="s">
        <v>824</v>
      </c>
      <c r="B128" s="37" t="s">
        <v>825</v>
      </c>
      <c r="C128" s="37" t="s">
        <v>7</v>
      </c>
      <c r="D128" s="33">
        <v>33751</v>
      </c>
      <c r="E128" s="34">
        <v>43987</v>
      </c>
    </row>
    <row r="129" spans="1:5" ht="29.4" thickBot="1">
      <c r="A129" s="36" t="s">
        <v>826</v>
      </c>
      <c r="B129" s="37" t="s">
        <v>827</v>
      </c>
      <c r="C129" s="37" t="s">
        <v>13</v>
      </c>
      <c r="D129" s="33">
        <v>36488</v>
      </c>
      <c r="E129" s="34">
        <v>44017</v>
      </c>
    </row>
    <row r="130" spans="1:5" ht="29.4" thickBot="1">
      <c r="A130" s="36" t="s">
        <v>828</v>
      </c>
      <c r="B130" s="37" t="s">
        <v>829</v>
      </c>
      <c r="C130" s="37" t="s">
        <v>19</v>
      </c>
      <c r="D130" s="33">
        <v>65255</v>
      </c>
      <c r="E130" s="34">
        <v>44048</v>
      </c>
    </row>
    <row r="131" spans="1:5" ht="29.4" thickBot="1">
      <c r="A131" s="36" t="s">
        <v>830</v>
      </c>
      <c r="B131" s="37" t="s">
        <v>831</v>
      </c>
      <c r="C131" s="37" t="s">
        <v>13</v>
      </c>
      <c r="D131" s="33">
        <v>89281</v>
      </c>
      <c r="E131" s="34">
        <v>44079</v>
      </c>
    </row>
    <row r="132" spans="1:5" ht="29.4" thickBot="1">
      <c r="A132" s="36" t="s">
        <v>832</v>
      </c>
      <c r="B132" s="37" t="s">
        <v>833</v>
      </c>
      <c r="C132" s="37" t="s">
        <v>16</v>
      </c>
      <c r="D132" s="33">
        <v>62444</v>
      </c>
      <c r="E132" s="34">
        <v>44109</v>
      </c>
    </row>
    <row r="133" spans="1:5" ht="29.4" thickBot="1">
      <c r="A133" s="36" t="s">
        <v>834</v>
      </c>
      <c r="B133" s="37" t="s">
        <v>835</v>
      </c>
      <c r="C133" s="37" t="s">
        <v>19</v>
      </c>
      <c r="D133" s="33">
        <v>54798</v>
      </c>
      <c r="E133" s="34">
        <v>44140</v>
      </c>
    </row>
    <row r="134" spans="1:5" ht="29.4" thickBot="1">
      <c r="A134" s="36" t="s">
        <v>836</v>
      </c>
      <c r="B134" s="37" t="s">
        <v>837</v>
      </c>
      <c r="C134" s="37" t="s">
        <v>19</v>
      </c>
      <c r="D134" s="33">
        <v>64389</v>
      </c>
      <c r="E134" s="34">
        <v>44170</v>
      </c>
    </row>
    <row r="135" spans="1:5" ht="29.4" thickBot="1">
      <c r="A135" s="36" t="s">
        <v>838</v>
      </c>
      <c r="B135" s="37" t="s">
        <v>839</v>
      </c>
      <c r="C135" s="37" t="s">
        <v>7</v>
      </c>
      <c r="D135" s="33">
        <v>41130</v>
      </c>
      <c r="E135" s="35" t="s">
        <v>840</v>
      </c>
    </row>
    <row r="136" spans="1:5" ht="29.4" thickBot="1">
      <c r="A136" s="36" t="s">
        <v>841</v>
      </c>
      <c r="B136" s="37" t="s">
        <v>842</v>
      </c>
      <c r="C136" s="37" t="s">
        <v>19</v>
      </c>
      <c r="D136" s="33">
        <v>76314</v>
      </c>
      <c r="E136" s="35" t="s">
        <v>843</v>
      </c>
    </row>
    <row r="137" spans="1:5" ht="29.4" thickBot="1">
      <c r="A137" s="36" t="s">
        <v>844</v>
      </c>
      <c r="B137" s="37" t="s">
        <v>845</v>
      </c>
      <c r="C137" s="37" t="s">
        <v>19</v>
      </c>
      <c r="D137" s="33">
        <v>92961</v>
      </c>
      <c r="E137" s="35" t="s">
        <v>846</v>
      </c>
    </row>
    <row r="138" spans="1:5" ht="29.4" thickBot="1">
      <c r="A138" s="36" t="s">
        <v>847</v>
      </c>
      <c r="B138" s="37" t="s">
        <v>848</v>
      </c>
      <c r="C138" s="37" t="s">
        <v>10</v>
      </c>
      <c r="D138" s="33">
        <v>81927</v>
      </c>
      <c r="E138" s="35" t="s">
        <v>849</v>
      </c>
    </row>
    <row r="139" spans="1:5" ht="29.4" thickBot="1">
      <c r="A139" s="36" t="s">
        <v>850</v>
      </c>
      <c r="B139" s="37" t="s">
        <v>851</v>
      </c>
      <c r="C139" s="37" t="s">
        <v>10</v>
      </c>
      <c r="D139" s="33">
        <v>78227</v>
      </c>
      <c r="E139" s="35" t="s">
        <v>852</v>
      </c>
    </row>
    <row r="140" spans="1:5" ht="29.4" thickBot="1">
      <c r="A140" s="36" t="s">
        <v>853</v>
      </c>
      <c r="B140" s="37" t="s">
        <v>854</v>
      </c>
      <c r="C140" s="37" t="s">
        <v>13</v>
      </c>
      <c r="D140" s="33">
        <v>58677</v>
      </c>
      <c r="E140" s="35" t="s">
        <v>855</v>
      </c>
    </row>
    <row r="141" spans="1:5" ht="29.4" thickBot="1">
      <c r="A141" s="36" t="s">
        <v>856</v>
      </c>
      <c r="B141" s="37" t="s">
        <v>857</v>
      </c>
      <c r="C141" s="37" t="s">
        <v>13</v>
      </c>
      <c r="D141" s="33">
        <v>33307</v>
      </c>
      <c r="E141" s="35" t="s">
        <v>858</v>
      </c>
    </row>
    <row r="142" spans="1:5" ht="29.4" thickBot="1">
      <c r="A142" s="36" t="s">
        <v>859</v>
      </c>
      <c r="B142" s="37" t="s">
        <v>860</v>
      </c>
      <c r="C142" s="37" t="s">
        <v>10</v>
      </c>
      <c r="D142" s="33">
        <v>86530</v>
      </c>
      <c r="E142" s="35" t="s">
        <v>861</v>
      </c>
    </row>
    <row r="143" spans="1:5" ht="29.4" thickBot="1">
      <c r="A143" s="36" t="s">
        <v>862</v>
      </c>
      <c r="B143" s="37" t="s">
        <v>863</v>
      </c>
      <c r="C143" s="37" t="s">
        <v>10</v>
      </c>
      <c r="D143" s="33">
        <v>53893</v>
      </c>
      <c r="E143" s="35" t="s">
        <v>864</v>
      </c>
    </row>
    <row r="144" spans="1:5" ht="29.4" thickBot="1">
      <c r="A144" s="36" t="s">
        <v>865</v>
      </c>
      <c r="B144" s="37" t="s">
        <v>866</v>
      </c>
      <c r="C144" s="37" t="s">
        <v>19</v>
      </c>
      <c r="D144" s="33">
        <v>39378</v>
      </c>
      <c r="E144" s="35" t="s">
        <v>867</v>
      </c>
    </row>
    <row r="145" spans="1:5" ht="29.4" thickBot="1">
      <c r="A145" s="36" t="s">
        <v>868</v>
      </c>
      <c r="B145" s="37" t="s">
        <v>869</v>
      </c>
      <c r="C145" s="37" t="s">
        <v>7</v>
      </c>
      <c r="D145" s="33">
        <v>84402</v>
      </c>
      <c r="E145" s="35" t="s">
        <v>870</v>
      </c>
    </row>
    <row r="146" spans="1:5" ht="29.4" thickBot="1">
      <c r="A146" s="36" t="s">
        <v>871</v>
      </c>
      <c r="B146" s="37" t="s">
        <v>872</v>
      </c>
      <c r="C146" s="37" t="s">
        <v>16</v>
      </c>
      <c r="D146" s="33">
        <v>40895</v>
      </c>
      <c r="E146" s="35" t="s">
        <v>873</v>
      </c>
    </row>
    <row r="147" spans="1:5" ht="29.4" thickBot="1">
      <c r="A147" s="36" t="s">
        <v>874</v>
      </c>
      <c r="B147" s="37" t="s">
        <v>875</v>
      </c>
      <c r="C147" s="37" t="s">
        <v>19</v>
      </c>
      <c r="D147" s="33">
        <v>30479</v>
      </c>
      <c r="E147" s="35" t="s">
        <v>876</v>
      </c>
    </row>
    <row r="148" spans="1:5" ht="29.4" thickBot="1">
      <c r="A148" s="36" t="s">
        <v>877</v>
      </c>
      <c r="B148" s="37" t="s">
        <v>878</v>
      </c>
      <c r="C148" s="37" t="s">
        <v>10</v>
      </c>
      <c r="D148" s="33">
        <v>41508</v>
      </c>
      <c r="E148" s="35" t="s">
        <v>879</v>
      </c>
    </row>
    <row r="149" spans="1:5" ht="29.4" thickBot="1">
      <c r="A149" s="36" t="s">
        <v>880</v>
      </c>
      <c r="B149" s="37" t="s">
        <v>881</v>
      </c>
      <c r="C149" s="37" t="s">
        <v>10</v>
      </c>
      <c r="D149" s="33">
        <v>90433</v>
      </c>
      <c r="E149" s="35" t="s">
        <v>882</v>
      </c>
    </row>
    <row r="150" spans="1:5" ht="29.4" thickBot="1">
      <c r="A150" s="36" t="s">
        <v>883</v>
      </c>
      <c r="B150" s="37" t="s">
        <v>884</v>
      </c>
      <c r="C150" s="37" t="s">
        <v>7</v>
      </c>
      <c r="D150" s="33">
        <v>79230</v>
      </c>
      <c r="E150" s="35" t="s">
        <v>885</v>
      </c>
    </row>
    <row r="151" spans="1:5" ht="29.4" thickBot="1">
      <c r="A151" s="36" t="s">
        <v>886</v>
      </c>
      <c r="B151" s="37" t="s">
        <v>887</v>
      </c>
      <c r="C151" s="37" t="s">
        <v>19</v>
      </c>
      <c r="D151" s="33">
        <v>83173</v>
      </c>
      <c r="E151" s="35" t="s">
        <v>888</v>
      </c>
    </row>
    <row r="152" spans="1:5" ht="29.4" thickBot="1">
      <c r="A152" s="36" t="s">
        <v>889</v>
      </c>
      <c r="B152" s="37" t="s">
        <v>890</v>
      </c>
      <c r="C152" s="37" t="s">
        <v>13</v>
      </c>
      <c r="D152" s="33">
        <v>81963</v>
      </c>
      <c r="E152" s="35" t="s">
        <v>891</v>
      </c>
    </row>
    <row r="153" spans="1:5" ht="29.4" thickBot="1">
      <c r="A153" s="36" t="s">
        <v>892</v>
      </c>
      <c r="B153" s="37" t="s">
        <v>893</v>
      </c>
      <c r="C153" s="37" t="s">
        <v>10</v>
      </c>
      <c r="D153" s="33">
        <v>95475</v>
      </c>
      <c r="E153" s="35" t="s">
        <v>894</v>
      </c>
    </row>
    <row r="154" spans="1:5" ht="29.4" thickBot="1">
      <c r="A154" s="36" t="s">
        <v>895</v>
      </c>
      <c r="B154" s="37" t="s">
        <v>896</v>
      </c>
      <c r="C154" s="37" t="s">
        <v>10</v>
      </c>
      <c r="D154" s="33">
        <v>83639</v>
      </c>
      <c r="E154" s="34">
        <v>43836</v>
      </c>
    </row>
    <row r="155" spans="1:5" ht="29.4" thickBot="1">
      <c r="A155" s="36" t="s">
        <v>897</v>
      </c>
      <c r="B155" s="37" t="s">
        <v>898</v>
      </c>
      <c r="C155" s="37" t="s">
        <v>16</v>
      </c>
      <c r="D155" s="33">
        <v>74150</v>
      </c>
      <c r="E155" s="34">
        <v>43867</v>
      </c>
    </row>
    <row r="156" spans="1:5" ht="29.4" thickBot="1">
      <c r="A156" s="36" t="s">
        <v>899</v>
      </c>
      <c r="B156" s="37" t="s">
        <v>900</v>
      </c>
      <c r="C156" s="37" t="s">
        <v>7</v>
      </c>
      <c r="D156" s="33">
        <v>75670</v>
      </c>
      <c r="E156" s="34">
        <v>43896</v>
      </c>
    </row>
    <row r="157" spans="1:5" ht="29.4" thickBot="1">
      <c r="A157" s="36" t="s">
        <v>901</v>
      </c>
      <c r="B157" s="37" t="s">
        <v>902</v>
      </c>
      <c r="C157" s="37" t="s">
        <v>13</v>
      </c>
      <c r="D157" s="33">
        <v>51417</v>
      </c>
      <c r="E157" s="34">
        <v>43927</v>
      </c>
    </row>
    <row r="158" spans="1:5" ht="29.4" thickBot="1">
      <c r="A158" s="36" t="s">
        <v>903</v>
      </c>
      <c r="B158" s="37" t="s">
        <v>904</v>
      </c>
      <c r="C158" s="37" t="s">
        <v>19</v>
      </c>
      <c r="D158" s="33">
        <v>83925</v>
      </c>
      <c r="E158" s="34">
        <v>43957</v>
      </c>
    </row>
    <row r="159" spans="1:5" ht="29.4" thickBot="1">
      <c r="A159" s="36" t="s">
        <v>905</v>
      </c>
      <c r="B159" s="37" t="s">
        <v>906</v>
      </c>
      <c r="C159" s="37" t="s">
        <v>19</v>
      </c>
      <c r="D159" s="33">
        <v>54908</v>
      </c>
      <c r="E159" s="34">
        <v>43988</v>
      </c>
    </row>
    <row r="160" spans="1:5" ht="29.4" thickBot="1">
      <c r="A160" s="36" t="s">
        <v>907</v>
      </c>
      <c r="B160" s="37" t="s">
        <v>908</v>
      </c>
      <c r="C160" s="37" t="s">
        <v>13</v>
      </c>
      <c r="D160" s="33">
        <v>89617</v>
      </c>
      <c r="E160" s="34">
        <v>44018</v>
      </c>
    </row>
    <row r="161" spans="1:5" ht="29.4" thickBot="1">
      <c r="A161" s="36" t="s">
        <v>909</v>
      </c>
      <c r="B161" s="37" t="s">
        <v>910</v>
      </c>
      <c r="C161" s="37" t="s">
        <v>10</v>
      </c>
      <c r="D161" s="33">
        <v>70446</v>
      </c>
      <c r="E161" s="34">
        <v>44049</v>
      </c>
    </row>
    <row r="162" spans="1:5" ht="29.4" thickBot="1">
      <c r="A162" s="36" t="s">
        <v>911</v>
      </c>
      <c r="B162" s="37" t="s">
        <v>912</v>
      </c>
      <c r="C162" s="37" t="s">
        <v>19</v>
      </c>
      <c r="D162" s="33">
        <v>66031</v>
      </c>
      <c r="E162" s="34">
        <v>44080</v>
      </c>
    </row>
    <row r="163" spans="1:5" ht="29.4" thickBot="1">
      <c r="A163" s="36" t="s">
        <v>913</v>
      </c>
      <c r="B163" s="37" t="s">
        <v>914</v>
      </c>
      <c r="C163" s="37" t="s">
        <v>7</v>
      </c>
      <c r="D163" s="33">
        <v>91440</v>
      </c>
      <c r="E163" s="34">
        <v>44110</v>
      </c>
    </row>
    <row r="164" spans="1:5" ht="29.4" thickBot="1">
      <c r="A164" s="36" t="s">
        <v>915</v>
      </c>
      <c r="B164" s="37" t="s">
        <v>916</v>
      </c>
      <c r="C164" s="37" t="s">
        <v>7</v>
      </c>
      <c r="D164" s="33">
        <v>32754</v>
      </c>
      <c r="E164" s="34">
        <v>44141</v>
      </c>
    </row>
    <row r="165" spans="1:5" ht="29.4" thickBot="1">
      <c r="A165" s="36" t="s">
        <v>917</v>
      </c>
      <c r="B165" s="37" t="s">
        <v>918</v>
      </c>
      <c r="C165" s="37" t="s">
        <v>10</v>
      </c>
      <c r="D165" s="33">
        <v>45611</v>
      </c>
      <c r="E165" s="34">
        <v>44171</v>
      </c>
    </row>
    <row r="166" spans="1:5" ht="29.4" thickBot="1">
      <c r="A166" s="36" t="s">
        <v>919</v>
      </c>
      <c r="B166" s="37" t="s">
        <v>920</v>
      </c>
      <c r="C166" s="37" t="s">
        <v>13</v>
      </c>
      <c r="D166" s="33">
        <v>96242</v>
      </c>
      <c r="E166" s="35" t="s">
        <v>921</v>
      </c>
    </row>
    <row r="167" spans="1:5" ht="29.4" thickBot="1">
      <c r="A167" s="36" t="s">
        <v>922</v>
      </c>
      <c r="B167" s="37" t="s">
        <v>923</v>
      </c>
      <c r="C167" s="37" t="s">
        <v>10</v>
      </c>
      <c r="D167" s="33">
        <v>92741</v>
      </c>
      <c r="E167" s="35" t="s">
        <v>924</v>
      </c>
    </row>
    <row r="168" spans="1:5" ht="29.4" thickBot="1">
      <c r="A168" s="36" t="s">
        <v>925</v>
      </c>
      <c r="B168" s="37" t="s">
        <v>926</v>
      </c>
      <c r="C168" s="37" t="s">
        <v>19</v>
      </c>
      <c r="D168" s="33">
        <v>72522</v>
      </c>
      <c r="E168" s="35" t="s">
        <v>927</v>
      </c>
    </row>
    <row r="169" spans="1:5" ht="29.4" thickBot="1">
      <c r="A169" s="36" t="s">
        <v>928</v>
      </c>
      <c r="B169" s="37" t="s">
        <v>929</v>
      </c>
      <c r="C169" s="37" t="s">
        <v>13</v>
      </c>
      <c r="D169" s="33">
        <v>62078</v>
      </c>
      <c r="E169" s="35" t="s">
        <v>930</v>
      </c>
    </row>
    <row r="170" spans="1:5" ht="29.4" thickBot="1">
      <c r="A170" s="36" t="s">
        <v>931</v>
      </c>
      <c r="B170" s="37" t="s">
        <v>932</v>
      </c>
      <c r="C170" s="37" t="s">
        <v>10</v>
      </c>
      <c r="D170" s="33">
        <v>92616</v>
      </c>
      <c r="E170" s="35" t="s">
        <v>933</v>
      </c>
    </row>
    <row r="171" spans="1:5" ht="29.4" thickBot="1">
      <c r="A171" s="36" t="s">
        <v>934</v>
      </c>
      <c r="B171" s="37" t="s">
        <v>935</v>
      </c>
      <c r="C171" s="37" t="s">
        <v>19</v>
      </c>
      <c r="D171" s="33">
        <v>43383</v>
      </c>
      <c r="E171" s="35" t="s">
        <v>936</v>
      </c>
    </row>
    <row r="172" spans="1:5" ht="29.4" thickBot="1">
      <c r="A172" s="36" t="s">
        <v>937</v>
      </c>
      <c r="B172" s="37" t="s">
        <v>938</v>
      </c>
      <c r="C172" s="37" t="s">
        <v>19</v>
      </c>
      <c r="D172" s="33">
        <v>39121</v>
      </c>
      <c r="E172" s="35" t="s">
        <v>939</v>
      </c>
    </row>
    <row r="173" spans="1:5" ht="29.4" thickBot="1">
      <c r="A173" s="36" t="s">
        <v>940</v>
      </c>
      <c r="B173" s="37" t="s">
        <v>941</v>
      </c>
      <c r="C173" s="37" t="s">
        <v>7</v>
      </c>
      <c r="D173" s="33">
        <v>70153</v>
      </c>
      <c r="E173" s="35" t="s">
        <v>942</v>
      </c>
    </row>
    <row r="174" spans="1:5" ht="29.4" thickBot="1">
      <c r="A174" s="36" t="s">
        <v>943</v>
      </c>
      <c r="B174" s="37" t="s">
        <v>944</v>
      </c>
      <c r="C174" s="37" t="s">
        <v>7</v>
      </c>
      <c r="D174" s="33">
        <v>76545</v>
      </c>
      <c r="E174" s="35" t="s">
        <v>945</v>
      </c>
    </row>
    <row r="175" spans="1:5" ht="29.4" thickBot="1">
      <c r="A175" s="36" t="s">
        <v>946</v>
      </c>
      <c r="B175" s="37" t="s">
        <v>947</v>
      </c>
      <c r="C175" s="37" t="s">
        <v>19</v>
      </c>
      <c r="D175" s="33">
        <v>56903</v>
      </c>
      <c r="E175" s="35" t="s">
        <v>948</v>
      </c>
    </row>
    <row r="176" spans="1:5" ht="29.4" thickBot="1">
      <c r="A176" s="36" t="s">
        <v>949</v>
      </c>
      <c r="B176" s="37" t="s">
        <v>950</v>
      </c>
      <c r="C176" s="37" t="s">
        <v>13</v>
      </c>
      <c r="D176" s="33">
        <v>85358</v>
      </c>
      <c r="E176" s="35" t="s">
        <v>951</v>
      </c>
    </row>
    <row r="177" spans="1:5" ht="29.4" thickBot="1">
      <c r="A177" s="36" t="s">
        <v>952</v>
      </c>
      <c r="B177" s="37" t="s">
        <v>953</v>
      </c>
      <c r="C177" s="37" t="s">
        <v>16</v>
      </c>
      <c r="D177" s="33">
        <v>93831</v>
      </c>
      <c r="E177" s="35" t="s">
        <v>954</v>
      </c>
    </row>
    <row r="178" spans="1:5" ht="29.4" thickBot="1">
      <c r="A178" s="36" t="s">
        <v>955</v>
      </c>
      <c r="B178" s="37" t="s">
        <v>956</v>
      </c>
      <c r="C178" s="37" t="s">
        <v>19</v>
      </c>
      <c r="D178" s="33">
        <v>81047</v>
      </c>
      <c r="E178" s="35" t="s">
        <v>957</v>
      </c>
    </row>
    <row r="179" spans="1:5" ht="29.4" thickBot="1">
      <c r="A179" s="36" t="s">
        <v>958</v>
      </c>
      <c r="B179" s="37" t="s">
        <v>959</v>
      </c>
      <c r="C179" s="37" t="s">
        <v>7</v>
      </c>
      <c r="D179" s="33">
        <v>48862</v>
      </c>
      <c r="E179" s="35" t="s">
        <v>960</v>
      </c>
    </row>
    <row r="180" spans="1:5" ht="29.4" thickBot="1">
      <c r="A180" s="36" t="s">
        <v>961</v>
      </c>
      <c r="B180" s="37" t="s">
        <v>962</v>
      </c>
      <c r="C180" s="37" t="s">
        <v>16</v>
      </c>
      <c r="D180" s="33">
        <v>98927</v>
      </c>
      <c r="E180" s="35" t="s">
        <v>963</v>
      </c>
    </row>
    <row r="181" spans="1:5" ht="29.4" thickBot="1">
      <c r="A181" s="36" t="s">
        <v>964</v>
      </c>
      <c r="B181" s="37" t="s">
        <v>965</v>
      </c>
      <c r="C181" s="37" t="s">
        <v>19</v>
      </c>
      <c r="D181" s="33">
        <v>68059</v>
      </c>
      <c r="E181" s="35" t="s">
        <v>966</v>
      </c>
    </row>
    <row r="182" spans="1:5" ht="29.4" thickBot="1">
      <c r="A182" s="36" t="s">
        <v>967</v>
      </c>
      <c r="B182" s="37" t="s">
        <v>968</v>
      </c>
      <c r="C182" s="37" t="s">
        <v>19</v>
      </c>
      <c r="D182" s="33">
        <v>79939</v>
      </c>
      <c r="E182" s="35" t="s">
        <v>969</v>
      </c>
    </row>
    <row r="183" spans="1:5" ht="29.4" thickBot="1">
      <c r="A183" s="36" t="s">
        <v>970</v>
      </c>
      <c r="B183" s="37" t="s">
        <v>971</v>
      </c>
      <c r="C183" s="37" t="s">
        <v>7</v>
      </c>
      <c r="D183" s="33">
        <v>47313</v>
      </c>
      <c r="E183" s="35" t="s">
        <v>972</v>
      </c>
    </row>
    <row r="184" spans="1:5" ht="29.4" thickBot="1">
      <c r="A184" s="36" t="s">
        <v>973</v>
      </c>
      <c r="B184" s="37" t="s">
        <v>974</v>
      </c>
      <c r="C184" s="37" t="s">
        <v>10</v>
      </c>
      <c r="D184" s="33">
        <v>97664</v>
      </c>
      <c r="E184" s="34">
        <v>43837</v>
      </c>
    </row>
    <row r="185" spans="1:5" ht="29.4" thickBot="1">
      <c r="A185" s="36" t="s">
        <v>975</v>
      </c>
      <c r="B185" s="37" t="s">
        <v>976</v>
      </c>
      <c r="C185" s="37" t="s">
        <v>19</v>
      </c>
      <c r="D185" s="33">
        <v>91049</v>
      </c>
      <c r="E185" s="34">
        <v>43868</v>
      </c>
    </row>
    <row r="186" spans="1:5" ht="29.4" thickBot="1">
      <c r="A186" s="36" t="s">
        <v>977</v>
      </c>
      <c r="B186" s="37" t="s">
        <v>978</v>
      </c>
      <c r="C186" s="37" t="s">
        <v>19</v>
      </c>
      <c r="D186" s="33">
        <v>30061</v>
      </c>
      <c r="E186" s="34">
        <v>43897</v>
      </c>
    </row>
    <row r="187" spans="1:5" ht="29.4" thickBot="1">
      <c r="A187" s="36" t="s">
        <v>979</v>
      </c>
      <c r="B187" s="37" t="s">
        <v>980</v>
      </c>
      <c r="C187" s="37" t="s">
        <v>16</v>
      </c>
      <c r="D187" s="33">
        <v>59420</v>
      </c>
      <c r="E187" s="34">
        <v>43928</v>
      </c>
    </row>
    <row r="188" spans="1:5" ht="29.4" thickBot="1">
      <c r="A188" s="36" t="s">
        <v>981</v>
      </c>
      <c r="B188" s="37" t="s">
        <v>982</v>
      </c>
      <c r="C188" s="37" t="s">
        <v>19</v>
      </c>
      <c r="D188" s="33">
        <v>74612</v>
      </c>
      <c r="E188" s="34">
        <v>43958</v>
      </c>
    </row>
    <row r="189" spans="1:5" ht="29.4" thickBot="1">
      <c r="A189" s="36" t="s">
        <v>983</v>
      </c>
      <c r="B189" s="37" t="s">
        <v>984</v>
      </c>
      <c r="C189" s="37" t="s">
        <v>10</v>
      </c>
      <c r="D189" s="33">
        <v>86408</v>
      </c>
      <c r="E189" s="34">
        <v>43989</v>
      </c>
    </row>
    <row r="190" spans="1:5" ht="29.4" thickBot="1">
      <c r="A190" s="36" t="s">
        <v>985</v>
      </c>
      <c r="B190" s="37" t="s">
        <v>986</v>
      </c>
      <c r="C190" s="37" t="s">
        <v>16</v>
      </c>
      <c r="D190" s="33">
        <v>54198</v>
      </c>
      <c r="E190" s="34">
        <v>44019</v>
      </c>
    </row>
    <row r="191" spans="1:5" ht="29.4" thickBot="1">
      <c r="A191" s="36" t="s">
        <v>987</v>
      </c>
      <c r="B191" s="37" t="s">
        <v>988</v>
      </c>
      <c r="C191" s="37" t="s">
        <v>7</v>
      </c>
      <c r="D191" s="33">
        <v>41661</v>
      </c>
      <c r="E191" s="34">
        <v>44050</v>
      </c>
    </row>
    <row r="192" spans="1:5" ht="29.4" thickBot="1">
      <c r="A192" s="36" t="s">
        <v>989</v>
      </c>
      <c r="B192" s="37" t="s">
        <v>990</v>
      </c>
      <c r="C192" s="37" t="s">
        <v>10</v>
      </c>
      <c r="D192" s="33">
        <v>57879</v>
      </c>
      <c r="E192" s="34">
        <v>44081</v>
      </c>
    </row>
    <row r="193" spans="1:5" ht="29.4" thickBot="1">
      <c r="A193" s="36" t="s">
        <v>991</v>
      </c>
      <c r="B193" s="37" t="s">
        <v>992</v>
      </c>
      <c r="C193" s="37" t="s">
        <v>16</v>
      </c>
      <c r="D193" s="33">
        <v>81417</v>
      </c>
      <c r="E193" s="34">
        <v>44111</v>
      </c>
    </row>
    <row r="194" spans="1:5" ht="29.4" thickBot="1">
      <c r="A194" s="36" t="s">
        <v>993</v>
      </c>
      <c r="B194" s="37" t="s">
        <v>994</v>
      </c>
      <c r="C194" s="37" t="s">
        <v>16</v>
      </c>
      <c r="D194" s="33">
        <v>87702</v>
      </c>
      <c r="E194" s="34">
        <v>44142</v>
      </c>
    </row>
    <row r="195" spans="1:5" ht="29.4" thickBot="1">
      <c r="A195" s="36" t="s">
        <v>995</v>
      </c>
      <c r="B195" s="37" t="s">
        <v>996</v>
      </c>
      <c r="C195" s="37" t="s">
        <v>16</v>
      </c>
      <c r="D195" s="33">
        <v>56427</v>
      </c>
      <c r="E195" s="34">
        <v>44172</v>
      </c>
    </row>
    <row r="196" spans="1:5" ht="29.4" thickBot="1">
      <c r="A196" s="36" t="s">
        <v>997</v>
      </c>
      <c r="B196" s="37" t="s">
        <v>998</v>
      </c>
      <c r="C196" s="37" t="s">
        <v>7</v>
      </c>
      <c r="D196" s="33">
        <v>30915</v>
      </c>
      <c r="E196" s="35" t="s">
        <v>999</v>
      </c>
    </row>
    <row r="197" spans="1:5" ht="29.4" thickBot="1">
      <c r="A197" s="36" t="s">
        <v>1000</v>
      </c>
      <c r="B197" s="37" t="s">
        <v>1001</v>
      </c>
      <c r="C197" s="37" t="s">
        <v>7</v>
      </c>
      <c r="D197" s="33">
        <v>61665</v>
      </c>
      <c r="E197" s="35" t="s">
        <v>1002</v>
      </c>
    </row>
    <row r="198" spans="1:5" ht="29.4" thickBot="1">
      <c r="A198" s="36" t="s">
        <v>1003</v>
      </c>
      <c r="B198" s="37" t="s">
        <v>1004</v>
      </c>
      <c r="C198" s="37" t="s">
        <v>16</v>
      </c>
      <c r="D198" s="33">
        <v>52389</v>
      </c>
      <c r="E198" s="35" t="s">
        <v>1005</v>
      </c>
    </row>
    <row r="199" spans="1:5" ht="29.4" thickBot="1">
      <c r="A199" s="36" t="s">
        <v>1006</v>
      </c>
      <c r="B199" s="37" t="s">
        <v>1007</v>
      </c>
      <c r="C199" s="37" t="s">
        <v>16</v>
      </c>
      <c r="D199" s="33">
        <v>31822</v>
      </c>
      <c r="E199" s="35" t="s">
        <v>1008</v>
      </c>
    </row>
    <row r="200" spans="1:5" ht="29.4" thickBot="1">
      <c r="A200" s="36" t="s">
        <v>1009</v>
      </c>
      <c r="B200" s="37" t="s">
        <v>1010</v>
      </c>
      <c r="C200" s="37" t="s">
        <v>13</v>
      </c>
      <c r="D200" s="33">
        <v>37131</v>
      </c>
      <c r="E200" s="35" t="s">
        <v>1011</v>
      </c>
    </row>
    <row r="201" spans="1:5" ht="29.4" thickBot="1">
      <c r="A201" s="36" t="s">
        <v>1012</v>
      </c>
      <c r="B201" s="37" t="s">
        <v>1013</v>
      </c>
      <c r="C201" s="37" t="s">
        <v>13</v>
      </c>
      <c r="D201" s="33">
        <v>34738</v>
      </c>
      <c r="E201" s="35" t="s">
        <v>1014</v>
      </c>
    </row>
    <row r="202" spans="1:5" ht="29.4" thickBot="1">
      <c r="A202" s="36" t="s">
        <v>1015</v>
      </c>
      <c r="B202" s="37" t="s">
        <v>1016</v>
      </c>
      <c r="C202" s="37" t="s">
        <v>16</v>
      </c>
      <c r="D202" s="33">
        <v>56268</v>
      </c>
      <c r="E202" s="35" t="s">
        <v>1017</v>
      </c>
    </row>
    <row r="203" spans="1:5" ht="29.4" thickBot="1">
      <c r="A203" s="36" t="s">
        <v>1018</v>
      </c>
      <c r="B203" s="37" t="s">
        <v>1019</v>
      </c>
      <c r="C203" s="37" t="s">
        <v>10</v>
      </c>
      <c r="D203" s="33">
        <v>59862</v>
      </c>
      <c r="E203" s="35" t="s">
        <v>1020</v>
      </c>
    </row>
    <row r="204" spans="1:5" ht="29.4" thickBot="1">
      <c r="A204" s="36" t="s">
        <v>1021</v>
      </c>
      <c r="B204" s="37" t="s">
        <v>1022</v>
      </c>
      <c r="C204" s="37" t="s">
        <v>16</v>
      </c>
      <c r="D204" s="33">
        <v>59155</v>
      </c>
      <c r="E204" s="35" t="s">
        <v>1023</v>
      </c>
    </row>
    <row r="205" spans="1:5" ht="29.4" thickBot="1">
      <c r="A205" s="36" t="s">
        <v>1024</v>
      </c>
      <c r="B205" s="37" t="s">
        <v>1025</v>
      </c>
      <c r="C205" s="37" t="s">
        <v>16</v>
      </c>
      <c r="D205" s="33">
        <v>40231</v>
      </c>
      <c r="E205" s="35" t="s">
        <v>1026</v>
      </c>
    </row>
    <row r="206" spans="1:5" ht="29.4" thickBot="1">
      <c r="A206" s="36" t="s">
        <v>1027</v>
      </c>
      <c r="B206" s="37" t="s">
        <v>1028</v>
      </c>
      <c r="C206" s="37" t="s">
        <v>13</v>
      </c>
      <c r="D206" s="33">
        <v>41413</v>
      </c>
      <c r="E206" s="35" t="s">
        <v>1029</v>
      </c>
    </row>
    <row r="207" spans="1:5" ht="29.4" thickBot="1">
      <c r="A207" s="36" t="s">
        <v>1030</v>
      </c>
      <c r="B207" s="37" t="s">
        <v>1031</v>
      </c>
      <c r="C207" s="37" t="s">
        <v>10</v>
      </c>
      <c r="D207" s="33">
        <v>98712</v>
      </c>
      <c r="E207" s="35" t="s">
        <v>1032</v>
      </c>
    </row>
    <row r="208" spans="1:5" ht="29.4" thickBot="1">
      <c r="A208" s="36" t="s">
        <v>1033</v>
      </c>
      <c r="B208" s="37" t="s">
        <v>1034</v>
      </c>
      <c r="C208" s="37" t="s">
        <v>13</v>
      </c>
      <c r="D208" s="33">
        <v>41145</v>
      </c>
      <c r="E208" s="35" t="s">
        <v>1035</v>
      </c>
    </row>
    <row r="209" spans="1:5" ht="29.4" thickBot="1">
      <c r="A209" s="36" t="s">
        <v>1036</v>
      </c>
      <c r="B209" s="37" t="s">
        <v>1037</v>
      </c>
      <c r="C209" s="37" t="s">
        <v>7</v>
      </c>
      <c r="D209" s="33">
        <v>52219</v>
      </c>
      <c r="E209" s="35" t="s">
        <v>1038</v>
      </c>
    </row>
    <row r="210" spans="1:5" ht="29.4" thickBot="1">
      <c r="A210" s="36" t="s">
        <v>1039</v>
      </c>
      <c r="B210" s="37" t="s">
        <v>1040</v>
      </c>
      <c r="C210" s="37" t="s">
        <v>16</v>
      </c>
      <c r="D210" s="33">
        <v>57143</v>
      </c>
      <c r="E210" s="35" t="s">
        <v>1041</v>
      </c>
    </row>
    <row r="211" spans="1:5" ht="29.4" thickBot="1">
      <c r="A211" s="36" t="s">
        <v>1042</v>
      </c>
      <c r="B211" s="37" t="s">
        <v>1043</v>
      </c>
      <c r="C211" s="37" t="s">
        <v>7</v>
      </c>
      <c r="D211" s="33">
        <v>74451</v>
      </c>
      <c r="E211" s="35" t="s">
        <v>1044</v>
      </c>
    </row>
    <row r="212" spans="1:5" ht="29.4" thickBot="1">
      <c r="A212" s="36" t="s">
        <v>1045</v>
      </c>
      <c r="B212" s="37" t="s">
        <v>1046</v>
      </c>
      <c r="C212" s="37" t="s">
        <v>19</v>
      </c>
      <c r="D212" s="33">
        <v>99392</v>
      </c>
      <c r="E212" s="35" t="s">
        <v>1047</v>
      </c>
    </row>
    <row r="213" spans="1:5" ht="29.4" thickBot="1">
      <c r="A213" s="36" t="s">
        <v>1048</v>
      </c>
      <c r="B213" s="37" t="s">
        <v>1049</v>
      </c>
      <c r="C213" s="37" t="s">
        <v>19</v>
      </c>
      <c r="D213" s="33">
        <v>95072</v>
      </c>
      <c r="E213" s="35" t="s">
        <v>1050</v>
      </c>
    </row>
    <row r="214" spans="1:5" ht="29.4" thickBot="1">
      <c r="A214" s="36" t="s">
        <v>1051</v>
      </c>
      <c r="B214" s="37" t="s">
        <v>1052</v>
      </c>
      <c r="C214" s="37" t="s">
        <v>19</v>
      </c>
      <c r="D214" s="33">
        <v>38566</v>
      </c>
      <c r="E214" s="35" t="s">
        <v>1053</v>
      </c>
    </row>
    <row r="215" spans="1:5" ht="29.4" thickBot="1">
      <c r="A215" s="36" t="s">
        <v>1054</v>
      </c>
      <c r="B215" s="37" t="s">
        <v>1055</v>
      </c>
      <c r="C215" s="37" t="s">
        <v>13</v>
      </c>
      <c r="D215" s="33">
        <v>47725</v>
      </c>
      <c r="E215" s="34">
        <v>43838</v>
      </c>
    </row>
    <row r="216" spans="1:5" ht="29.4" thickBot="1">
      <c r="A216" s="36" t="s">
        <v>1056</v>
      </c>
      <c r="B216" s="37" t="s">
        <v>1057</v>
      </c>
      <c r="C216" s="37" t="s">
        <v>16</v>
      </c>
      <c r="D216" s="33">
        <v>40077</v>
      </c>
      <c r="E216" s="34">
        <v>43869</v>
      </c>
    </row>
    <row r="217" spans="1:5" ht="29.4" thickBot="1">
      <c r="A217" s="36" t="s">
        <v>1058</v>
      </c>
      <c r="B217" s="37" t="s">
        <v>1059</v>
      </c>
      <c r="C217" s="37" t="s">
        <v>19</v>
      </c>
      <c r="D217" s="33">
        <v>81234</v>
      </c>
      <c r="E217" s="34">
        <v>43898</v>
      </c>
    </row>
    <row r="218" spans="1:5" ht="29.4" thickBot="1">
      <c r="A218" s="36" t="s">
        <v>1060</v>
      </c>
      <c r="B218" s="37" t="s">
        <v>1061</v>
      </c>
      <c r="C218" s="37" t="s">
        <v>19</v>
      </c>
      <c r="D218" s="33">
        <v>68579</v>
      </c>
      <c r="E218" s="34">
        <v>43929</v>
      </c>
    </row>
    <row r="219" spans="1:5" ht="29.4" thickBot="1">
      <c r="A219" s="36" t="s">
        <v>1062</v>
      </c>
      <c r="B219" s="37" t="s">
        <v>1063</v>
      </c>
      <c r="C219" s="37" t="s">
        <v>13</v>
      </c>
      <c r="D219" s="33">
        <v>71204</v>
      </c>
      <c r="E219" s="34">
        <v>43959</v>
      </c>
    </row>
    <row r="220" spans="1:5" ht="29.4" thickBot="1">
      <c r="A220" s="36" t="s">
        <v>1064</v>
      </c>
      <c r="B220" s="37" t="s">
        <v>1065</v>
      </c>
      <c r="C220" s="37" t="s">
        <v>16</v>
      </c>
      <c r="D220" s="33">
        <v>65102</v>
      </c>
      <c r="E220" s="34">
        <v>43990</v>
      </c>
    </row>
    <row r="221" spans="1:5" ht="29.4" thickBot="1">
      <c r="A221" s="36" t="s">
        <v>1066</v>
      </c>
      <c r="B221" s="37" t="s">
        <v>1067</v>
      </c>
      <c r="C221" s="37" t="s">
        <v>16</v>
      </c>
      <c r="D221" s="33">
        <v>62328</v>
      </c>
      <c r="E221" s="34">
        <v>44020</v>
      </c>
    </row>
    <row r="222" spans="1:5" ht="29.4" thickBot="1">
      <c r="A222" s="36" t="s">
        <v>1068</v>
      </c>
      <c r="B222" s="37" t="s">
        <v>1069</v>
      </c>
      <c r="C222" s="37" t="s">
        <v>19</v>
      </c>
      <c r="D222" s="33">
        <v>86105</v>
      </c>
      <c r="E222" s="34">
        <v>44051</v>
      </c>
    </row>
    <row r="223" spans="1:5" ht="29.4" thickBot="1">
      <c r="A223" s="36" t="s">
        <v>1070</v>
      </c>
      <c r="B223" s="37" t="s">
        <v>1071</v>
      </c>
      <c r="C223" s="37" t="s">
        <v>13</v>
      </c>
      <c r="D223" s="33">
        <v>63323</v>
      </c>
      <c r="E223" s="34">
        <v>44082</v>
      </c>
    </row>
    <row r="224" spans="1:5" ht="29.4" thickBot="1">
      <c r="A224" s="36" t="s">
        <v>1072</v>
      </c>
      <c r="B224" s="37" t="s">
        <v>1073</v>
      </c>
      <c r="C224" s="37" t="s">
        <v>19</v>
      </c>
      <c r="D224" s="33">
        <v>47637</v>
      </c>
      <c r="E224" s="34">
        <v>44112</v>
      </c>
    </row>
    <row r="225" spans="1:5" ht="29.4" thickBot="1">
      <c r="A225" s="36" t="s">
        <v>1074</v>
      </c>
      <c r="B225" s="37" t="s">
        <v>1075</v>
      </c>
      <c r="C225" s="37" t="s">
        <v>7</v>
      </c>
      <c r="D225" s="33">
        <v>67436</v>
      </c>
      <c r="E225" s="34">
        <v>44143</v>
      </c>
    </row>
    <row r="226" spans="1:5" ht="29.4" thickBot="1">
      <c r="A226" s="36" t="s">
        <v>1076</v>
      </c>
      <c r="B226" s="37" t="s">
        <v>1077</v>
      </c>
      <c r="C226" s="37" t="s">
        <v>10</v>
      </c>
      <c r="D226" s="33">
        <v>43635</v>
      </c>
      <c r="E226" s="34">
        <v>44173</v>
      </c>
    </row>
    <row r="227" spans="1:5" ht="29.4" thickBot="1">
      <c r="A227" s="36" t="s">
        <v>1078</v>
      </c>
      <c r="B227" s="37" t="s">
        <v>1079</v>
      </c>
      <c r="C227" s="37" t="s">
        <v>16</v>
      </c>
      <c r="D227" s="33">
        <v>36158</v>
      </c>
      <c r="E227" s="35" t="s">
        <v>1080</v>
      </c>
    </row>
    <row r="228" spans="1:5" ht="29.4" thickBot="1">
      <c r="A228" s="36" t="s">
        <v>1081</v>
      </c>
      <c r="B228" s="37" t="s">
        <v>1082</v>
      </c>
      <c r="C228" s="37" t="s">
        <v>16</v>
      </c>
      <c r="D228" s="33">
        <v>74996</v>
      </c>
      <c r="E228" s="35" t="s">
        <v>1083</v>
      </c>
    </row>
    <row r="229" spans="1:5" ht="29.4" thickBot="1">
      <c r="A229" s="36" t="s">
        <v>1084</v>
      </c>
      <c r="B229" s="37" t="s">
        <v>1085</v>
      </c>
      <c r="C229" s="37" t="s">
        <v>19</v>
      </c>
      <c r="D229" s="33">
        <v>72159</v>
      </c>
      <c r="E229" s="35" t="s">
        <v>1086</v>
      </c>
    </row>
    <row r="230" spans="1:5" ht="29.4" thickBot="1">
      <c r="A230" s="36" t="s">
        <v>1087</v>
      </c>
      <c r="B230" s="37" t="s">
        <v>1088</v>
      </c>
      <c r="C230" s="37" t="s">
        <v>13</v>
      </c>
      <c r="D230" s="33">
        <v>52243</v>
      </c>
      <c r="E230" s="35" t="s">
        <v>1089</v>
      </c>
    </row>
    <row r="231" spans="1:5" ht="29.4" thickBot="1">
      <c r="A231" s="36" t="s">
        <v>1090</v>
      </c>
      <c r="B231" s="37" t="s">
        <v>1091</v>
      </c>
      <c r="C231" s="37" t="s">
        <v>13</v>
      </c>
      <c r="D231" s="33">
        <v>57281</v>
      </c>
      <c r="E231" s="35" t="s">
        <v>1092</v>
      </c>
    </row>
    <row r="232" spans="1:5" ht="29.4" thickBot="1">
      <c r="A232" s="36" t="s">
        <v>1093</v>
      </c>
      <c r="B232" s="37" t="s">
        <v>1094</v>
      </c>
      <c r="C232" s="37" t="s">
        <v>10</v>
      </c>
      <c r="D232" s="33">
        <v>60009</v>
      </c>
      <c r="E232" s="35" t="s">
        <v>1095</v>
      </c>
    </row>
    <row r="233" spans="1:5" ht="29.4" thickBot="1">
      <c r="A233" s="36" t="s">
        <v>1096</v>
      </c>
      <c r="B233" s="37" t="s">
        <v>1097</v>
      </c>
      <c r="C233" s="37" t="s">
        <v>13</v>
      </c>
      <c r="D233" s="33">
        <v>88475</v>
      </c>
      <c r="E233" s="35" t="s">
        <v>1098</v>
      </c>
    </row>
    <row r="234" spans="1:5" ht="29.4" thickBot="1">
      <c r="A234" s="36" t="s">
        <v>1099</v>
      </c>
      <c r="B234" s="37" t="s">
        <v>1100</v>
      </c>
      <c r="C234" s="37" t="s">
        <v>16</v>
      </c>
      <c r="D234" s="33">
        <v>40616</v>
      </c>
      <c r="E234" s="35" t="s">
        <v>1101</v>
      </c>
    </row>
    <row r="235" spans="1:5" ht="29.4" thickBot="1">
      <c r="A235" s="36" t="s">
        <v>1102</v>
      </c>
      <c r="B235" s="37" t="s">
        <v>1103</v>
      </c>
      <c r="C235" s="37" t="s">
        <v>10</v>
      </c>
      <c r="D235" s="33">
        <v>39883</v>
      </c>
      <c r="E235" s="35" t="s">
        <v>1104</v>
      </c>
    </row>
    <row r="236" spans="1:5" ht="29.4" thickBot="1">
      <c r="A236" s="36" t="s">
        <v>1105</v>
      </c>
      <c r="B236" s="37" t="s">
        <v>1106</v>
      </c>
      <c r="C236" s="37" t="s">
        <v>13</v>
      </c>
      <c r="D236" s="33">
        <v>68791</v>
      </c>
      <c r="E236" s="35" t="s">
        <v>1107</v>
      </c>
    </row>
    <row r="237" spans="1:5" ht="29.4" thickBot="1">
      <c r="A237" s="36" t="s">
        <v>1108</v>
      </c>
      <c r="B237" s="37" t="s">
        <v>1109</v>
      </c>
      <c r="C237" s="37" t="s">
        <v>13</v>
      </c>
      <c r="D237" s="33">
        <v>60282</v>
      </c>
      <c r="E237" s="35" t="s">
        <v>1110</v>
      </c>
    </row>
    <row r="238" spans="1:5" ht="29.4" thickBot="1">
      <c r="A238" s="36" t="s">
        <v>1111</v>
      </c>
      <c r="B238" s="37" t="s">
        <v>1112</v>
      </c>
      <c r="C238" s="37" t="s">
        <v>7</v>
      </c>
      <c r="D238" s="33">
        <v>42214</v>
      </c>
      <c r="E238" s="35" t="s">
        <v>1113</v>
      </c>
    </row>
    <row r="239" spans="1:5" ht="29.4" thickBot="1">
      <c r="A239" s="36" t="s">
        <v>1114</v>
      </c>
      <c r="B239" s="37" t="s">
        <v>1115</v>
      </c>
      <c r="C239" s="37" t="s">
        <v>13</v>
      </c>
      <c r="D239" s="33">
        <v>86248</v>
      </c>
      <c r="E239" s="35" t="s">
        <v>1116</v>
      </c>
    </row>
    <row r="240" spans="1:5" ht="29.4" thickBot="1">
      <c r="A240" s="36" t="s">
        <v>1117</v>
      </c>
      <c r="B240" s="37" t="s">
        <v>1118</v>
      </c>
      <c r="C240" s="37" t="s">
        <v>7</v>
      </c>
      <c r="D240" s="33">
        <v>35745</v>
      </c>
      <c r="E240" s="35" t="s">
        <v>1119</v>
      </c>
    </row>
    <row r="241" spans="1:5" ht="29.4" thickBot="1">
      <c r="A241" s="36" t="s">
        <v>1120</v>
      </c>
      <c r="B241" s="37" t="s">
        <v>1121</v>
      </c>
      <c r="C241" s="37" t="s">
        <v>10</v>
      </c>
      <c r="D241" s="33">
        <v>46724</v>
      </c>
      <c r="E241" s="35" t="s">
        <v>1122</v>
      </c>
    </row>
    <row r="242" spans="1:5" ht="29.4" thickBot="1">
      <c r="A242" s="36" t="s">
        <v>1123</v>
      </c>
      <c r="B242" s="37" t="s">
        <v>1124</v>
      </c>
      <c r="C242" s="37" t="s">
        <v>19</v>
      </c>
      <c r="D242" s="33">
        <v>84053</v>
      </c>
      <c r="E242" s="35" t="s">
        <v>1125</v>
      </c>
    </row>
    <row r="243" spans="1:5" ht="29.4" thickBot="1">
      <c r="A243" s="36" t="s">
        <v>1126</v>
      </c>
      <c r="B243" s="37" t="s">
        <v>1127</v>
      </c>
      <c r="C243" s="37" t="s">
        <v>19</v>
      </c>
      <c r="D243" s="33">
        <v>32621</v>
      </c>
      <c r="E243" s="35" t="s">
        <v>1128</v>
      </c>
    </row>
    <row r="244" spans="1:5" ht="29.4" thickBot="1">
      <c r="A244" s="36" t="s">
        <v>1129</v>
      </c>
      <c r="B244" s="37" t="s">
        <v>1130</v>
      </c>
      <c r="C244" s="37" t="s">
        <v>19</v>
      </c>
      <c r="D244" s="33">
        <v>30353</v>
      </c>
      <c r="E244" s="35" t="s">
        <v>1131</v>
      </c>
    </row>
    <row r="245" spans="1:5" ht="29.4" thickBot="1">
      <c r="A245" s="36" t="s">
        <v>1132</v>
      </c>
      <c r="B245" s="37" t="s">
        <v>1133</v>
      </c>
      <c r="C245" s="37" t="s">
        <v>10</v>
      </c>
      <c r="D245" s="33">
        <v>56335</v>
      </c>
      <c r="E245" s="35" t="s">
        <v>1134</v>
      </c>
    </row>
    <row r="246" spans="1:5" ht="29.4" thickBot="1">
      <c r="A246" s="36" t="s">
        <v>1135</v>
      </c>
      <c r="B246" s="37" t="s">
        <v>1136</v>
      </c>
      <c r="C246" s="37" t="s">
        <v>7</v>
      </c>
      <c r="D246" s="33">
        <v>33612</v>
      </c>
      <c r="E246" s="34">
        <v>43839</v>
      </c>
    </row>
    <row r="247" spans="1:5" ht="29.4" thickBot="1">
      <c r="A247" s="36" t="s">
        <v>1137</v>
      </c>
      <c r="B247" s="37" t="s">
        <v>1138</v>
      </c>
      <c r="C247" s="37" t="s">
        <v>16</v>
      </c>
      <c r="D247" s="33">
        <v>41500</v>
      </c>
      <c r="E247" s="34">
        <v>43870</v>
      </c>
    </row>
    <row r="248" spans="1:5" ht="29.4" thickBot="1">
      <c r="A248" s="36" t="s">
        <v>1139</v>
      </c>
      <c r="B248" s="37" t="s">
        <v>1140</v>
      </c>
      <c r="C248" s="37" t="s">
        <v>10</v>
      </c>
      <c r="D248" s="33">
        <v>64052</v>
      </c>
      <c r="E248" s="34">
        <v>43899</v>
      </c>
    </row>
    <row r="249" spans="1:5" ht="29.4" thickBot="1">
      <c r="A249" s="36" t="s">
        <v>1141</v>
      </c>
      <c r="B249" s="37" t="s">
        <v>1142</v>
      </c>
      <c r="C249" s="37" t="s">
        <v>16</v>
      </c>
      <c r="D249" s="33">
        <v>47862</v>
      </c>
      <c r="E249" s="34">
        <v>43930</v>
      </c>
    </row>
    <row r="250" spans="1:5" ht="29.4" thickBot="1">
      <c r="A250" s="36" t="s">
        <v>1143</v>
      </c>
      <c r="B250" s="37" t="s">
        <v>1144</v>
      </c>
      <c r="C250" s="37" t="s">
        <v>16</v>
      </c>
      <c r="D250" s="33">
        <v>44595</v>
      </c>
      <c r="E250" s="34">
        <v>43960</v>
      </c>
    </row>
    <row r="251" spans="1:5" ht="29.4" thickBot="1">
      <c r="A251" s="36" t="s">
        <v>1145</v>
      </c>
      <c r="B251" s="37" t="s">
        <v>1146</v>
      </c>
      <c r="C251" s="37" t="s">
        <v>19</v>
      </c>
      <c r="D251" s="33">
        <v>56287</v>
      </c>
      <c r="E251" s="34">
        <v>43991</v>
      </c>
    </row>
    <row r="252" spans="1:5" ht="29.4" thickBot="1">
      <c r="A252" s="36" t="s">
        <v>1147</v>
      </c>
      <c r="B252" s="37" t="s">
        <v>1148</v>
      </c>
      <c r="C252" s="37" t="s">
        <v>7</v>
      </c>
      <c r="D252" s="33">
        <v>82174</v>
      </c>
      <c r="E252" s="34">
        <v>44021</v>
      </c>
    </row>
    <row r="253" spans="1:5" ht="29.4" thickBot="1">
      <c r="A253" s="36" t="s">
        <v>1149</v>
      </c>
      <c r="B253" s="37" t="s">
        <v>1150</v>
      </c>
      <c r="C253" s="37" t="s">
        <v>19</v>
      </c>
      <c r="D253" s="33">
        <v>85100</v>
      </c>
      <c r="E253" s="34">
        <v>44052</v>
      </c>
    </row>
    <row r="254" spans="1:5" ht="29.4" thickBot="1">
      <c r="A254" s="36" t="s">
        <v>1151</v>
      </c>
      <c r="B254" s="37" t="s">
        <v>1152</v>
      </c>
      <c r="C254" s="37" t="s">
        <v>13</v>
      </c>
      <c r="D254" s="33">
        <v>70406</v>
      </c>
      <c r="E254" s="34">
        <v>44083</v>
      </c>
    </row>
    <row r="255" spans="1:5" ht="29.4" thickBot="1">
      <c r="A255" s="36" t="s">
        <v>1153</v>
      </c>
      <c r="B255" s="37" t="s">
        <v>1154</v>
      </c>
      <c r="C255" s="37" t="s">
        <v>19</v>
      </c>
      <c r="D255" s="33">
        <v>75693</v>
      </c>
      <c r="E255" s="34">
        <v>44113</v>
      </c>
    </row>
    <row r="256" spans="1:5" ht="29.4" thickBot="1">
      <c r="A256" s="36" t="s">
        <v>1155</v>
      </c>
      <c r="B256" s="37" t="s">
        <v>1156</v>
      </c>
      <c r="C256" s="37" t="s">
        <v>16</v>
      </c>
      <c r="D256" s="33">
        <v>74029</v>
      </c>
      <c r="E256" s="34">
        <v>44144</v>
      </c>
    </row>
    <row r="257" spans="1:5" ht="29.4" thickBot="1">
      <c r="A257" s="36" t="s">
        <v>1157</v>
      </c>
      <c r="B257" s="37" t="s">
        <v>1158</v>
      </c>
      <c r="C257" s="37" t="s">
        <v>19</v>
      </c>
      <c r="D257" s="33">
        <v>53833</v>
      </c>
      <c r="E257" s="34">
        <v>44174</v>
      </c>
    </row>
    <row r="258" spans="1:5" ht="29.4" thickBot="1">
      <c r="A258" s="36" t="s">
        <v>1159</v>
      </c>
      <c r="B258" s="37" t="s">
        <v>1160</v>
      </c>
      <c r="C258" s="37" t="s">
        <v>19</v>
      </c>
      <c r="D258" s="33">
        <v>97541</v>
      </c>
      <c r="E258" s="35" t="s">
        <v>1161</v>
      </c>
    </row>
    <row r="259" spans="1:5" ht="29.4" thickBot="1">
      <c r="A259" s="36" t="s">
        <v>1162</v>
      </c>
      <c r="B259" s="37" t="s">
        <v>1163</v>
      </c>
      <c r="C259" s="37" t="s">
        <v>19</v>
      </c>
      <c r="D259" s="33">
        <v>89777</v>
      </c>
      <c r="E259" s="35" t="s">
        <v>1164</v>
      </c>
    </row>
    <row r="260" spans="1:5" ht="29.4" thickBot="1">
      <c r="A260" s="36" t="s">
        <v>1165</v>
      </c>
      <c r="B260" s="37" t="s">
        <v>1166</v>
      </c>
      <c r="C260" s="37" t="s">
        <v>10</v>
      </c>
      <c r="D260" s="33">
        <v>99164</v>
      </c>
      <c r="E260" s="35" t="s">
        <v>1167</v>
      </c>
    </row>
    <row r="261" spans="1:5" ht="29.4" thickBot="1">
      <c r="A261" s="36" t="s">
        <v>1168</v>
      </c>
      <c r="B261" s="37" t="s">
        <v>1169</v>
      </c>
      <c r="C261" s="37" t="s">
        <v>13</v>
      </c>
      <c r="D261" s="33">
        <v>33232</v>
      </c>
      <c r="E261" s="35" t="s">
        <v>1170</v>
      </c>
    </row>
    <row r="262" spans="1:5" ht="29.4" thickBot="1">
      <c r="A262" s="36" t="s">
        <v>1171</v>
      </c>
      <c r="B262" s="37" t="s">
        <v>1172</v>
      </c>
      <c r="C262" s="37" t="s">
        <v>16</v>
      </c>
      <c r="D262" s="33">
        <v>53997</v>
      </c>
      <c r="E262" s="35" t="s">
        <v>1173</v>
      </c>
    </row>
    <row r="263" spans="1:5" ht="29.4" thickBot="1">
      <c r="A263" s="36" t="s">
        <v>1174</v>
      </c>
      <c r="B263" s="37" t="s">
        <v>1175</v>
      </c>
      <c r="C263" s="37" t="s">
        <v>19</v>
      </c>
      <c r="D263" s="33">
        <v>38408</v>
      </c>
      <c r="E263" s="35" t="s">
        <v>1176</v>
      </c>
    </row>
    <row r="264" spans="1:5" ht="29.4" thickBot="1">
      <c r="A264" s="36" t="s">
        <v>1177</v>
      </c>
      <c r="B264" s="37" t="s">
        <v>1178</v>
      </c>
      <c r="C264" s="37" t="s">
        <v>19</v>
      </c>
      <c r="D264" s="33">
        <v>97636</v>
      </c>
      <c r="E264" s="35" t="s">
        <v>1179</v>
      </c>
    </row>
    <row r="265" spans="1:5" ht="29.4" thickBot="1">
      <c r="A265" s="36" t="s">
        <v>1180</v>
      </c>
      <c r="B265" s="37" t="s">
        <v>1181</v>
      </c>
      <c r="C265" s="37" t="s">
        <v>19</v>
      </c>
      <c r="D265" s="33">
        <v>69264</v>
      </c>
      <c r="E265" s="35" t="s">
        <v>1182</v>
      </c>
    </row>
    <row r="266" spans="1:5" ht="29.4" thickBot="1">
      <c r="A266" s="36" t="s">
        <v>1183</v>
      </c>
      <c r="B266" s="37" t="s">
        <v>1184</v>
      </c>
      <c r="C266" s="37" t="s">
        <v>16</v>
      </c>
      <c r="D266" s="33">
        <v>63330</v>
      </c>
      <c r="E266" s="35" t="s">
        <v>1185</v>
      </c>
    </row>
    <row r="267" spans="1:5" ht="29.4" thickBot="1">
      <c r="A267" s="36" t="s">
        <v>1186</v>
      </c>
      <c r="B267" s="37" t="s">
        <v>1187</v>
      </c>
      <c r="C267" s="37" t="s">
        <v>13</v>
      </c>
      <c r="D267" s="33">
        <v>40979</v>
      </c>
      <c r="E267" s="35" t="s">
        <v>1188</v>
      </c>
    </row>
    <row r="268" spans="1:5" ht="29.4" thickBot="1">
      <c r="A268" s="36" t="s">
        <v>1189</v>
      </c>
      <c r="B268" s="37" t="s">
        <v>1190</v>
      </c>
      <c r="C268" s="37" t="s">
        <v>13</v>
      </c>
      <c r="D268" s="33">
        <v>68917</v>
      </c>
      <c r="E268" s="35" t="s">
        <v>1191</v>
      </c>
    </row>
    <row r="269" spans="1:5" ht="29.4" thickBot="1">
      <c r="A269" s="36" t="s">
        <v>1192</v>
      </c>
      <c r="B269" s="37" t="s">
        <v>1193</v>
      </c>
      <c r="C269" s="37" t="s">
        <v>13</v>
      </c>
      <c r="D269" s="33">
        <v>60809</v>
      </c>
      <c r="E269" s="35" t="s">
        <v>1194</v>
      </c>
    </row>
    <row r="270" spans="1:5" ht="29.4" thickBot="1">
      <c r="A270" s="36" t="s">
        <v>1195</v>
      </c>
      <c r="B270" s="37" t="s">
        <v>1196</v>
      </c>
      <c r="C270" s="37" t="s">
        <v>19</v>
      </c>
      <c r="D270" s="33">
        <v>84193</v>
      </c>
      <c r="E270" s="35" t="s">
        <v>1197</v>
      </c>
    </row>
    <row r="271" spans="1:5" ht="29.4" thickBot="1">
      <c r="A271" s="36" t="s">
        <v>1198</v>
      </c>
      <c r="B271" s="37" t="s">
        <v>1199</v>
      </c>
      <c r="C271" s="37" t="s">
        <v>13</v>
      </c>
      <c r="D271" s="33">
        <v>81895</v>
      </c>
      <c r="E271" s="35" t="s">
        <v>1200</v>
      </c>
    </row>
    <row r="272" spans="1:5" ht="29.4" thickBot="1">
      <c r="A272" s="36" t="s">
        <v>1201</v>
      </c>
      <c r="B272" s="37" t="s">
        <v>1202</v>
      </c>
      <c r="C272" s="37" t="s">
        <v>16</v>
      </c>
      <c r="D272" s="33">
        <v>61673</v>
      </c>
      <c r="E272" s="35" t="s">
        <v>1203</v>
      </c>
    </row>
    <row r="273" spans="1:5" ht="29.4" thickBot="1">
      <c r="A273" s="36" t="s">
        <v>1204</v>
      </c>
      <c r="B273" s="37" t="s">
        <v>1205</v>
      </c>
      <c r="C273" s="37" t="s">
        <v>7</v>
      </c>
      <c r="D273" s="33">
        <v>58371</v>
      </c>
      <c r="E273" s="35" t="s">
        <v>1206</v>
      </c>
    </row>
    <row r="274" spans="1:5" ht="29.4" thickBot="1">
      <c r="A274" s="36" t="s">
        <v>1207</v>
      </c>
      <c r="B274" s="37" t="s">
        <v>1208</v>
      </c>
      <c r="C274" s="37" t="s">
        <v>7</v>
      </c>
      <c r="D274" s="33">
        <v>92957</v>
      </c>
      <c r="E274" s="35" t="s">
        <v>1209</v>
      </c>
    </row>
    <row r="275" spans="1:5" ht="29.4" thickBot="1">
      <c r="A275" s="36" t="s">
        <v>1210</v>
      </c>
      <c r="B275" s="37" t="s">
        <v>1211</v>
      </c>
      <c r="C275" s="37" t="s">
        <v>7</v>
      </c>
      <c r="D275" s="33">
        <v>58623</v>
      </c>
      <c r="E275" s="35" t="s">
        <v>1212</v>
      </c>
    </row>
    <row r="276" spans="1:5" ht="29.4" thickBot="1">
      <c r="A276" s="36" t="s">
        <v>1213</v>
      </c>
      <c r="B276" s="37" t="s">
        <v>1214</v>
      </c>
      <c r="C276" s="37" t="s">
        <v>13</v>
      </c>
      <c r="D276" s="33">
        <v>86564</v>
      </c>
      <c r="E276" s="34">
        <v>43840</v>
      </c>
    </row>
    <row r="277" spans="1:5" ht="29.4" thickBot="1">
      <c r="A277" s="36" t="s">
        <v>1215</v>
      </c>
      <c r="B277" s="37" t="s">
        <v>1216</v>
      </c>
      <c r="C277" s="37" t="s">
        <v>7</v>
      </c>
      <c r="D277" s="33">
        <v>40427</v>
      </c>
      <c r="E277" s="34">
        <v>43871</v>
      </c>
    </row>
    <row r="278" spans="1:5" ht="29.4" thickBot="1">
      <c r="A278" s="36" t="s">
        <v>1217</v>
      </c>
      <c r="B278" s="37" t="s">
        <v>1218</v>
      </c>
      <c r="C278" s="37" t="s">
        <v>10</v>
      </c>
      <c r="D278" s="33">
        <v>50440</v>
      </c>
      <c r="E278" s="34">
        <v>43900</v>
      </c>
    </row>
    <row r="279" spans="1:5" ht="29.4" thickBot="1">
      <c r="A279" s="36" t="s">
        <v>1219</v>
      </c>
      <c r="B279" s="37" t="s">
        <v>1220</v>
      </c>
      <c r="C279" s="37" t="s">
        <v>13</v>
      </c>
      <c r="D279" s="33">
        <v>61266</v>
      </c>
      <c r="E279" s="34">
        <v>43931</v>
      </c>
    </row>
    <row r="280" spans="1:5" ht="29.4" thickBot="1">
      <c r="A280" s="36" t="s">
        <v>1221</v>
      </c>
      <c r="B280" s="37" t="s">
        <v>1222</v>
      </c>
      <c r="C280" s="37" t="s">
        <v>10</v>
      </c>
      <c r="D280" s="33">
        <v>56512</v>
      </c>
      <c r="E280" s="34">
        <v>43961</v>
      </c>
    </row>
    <row r="281" spans="1:5" ht="29.4" thickBot="1">
      <c r="A281" s="36" t="s">
        <v>1223</v>
      </c>
      <c r="B281" s="37" t="s">
        <v>1224</v>
      </c>
      <c r="C281" s="37" t="s">
        <v>10</v>
      </c>
      <c r="D281" s="33">
        <v>34722</v>
      </c>
      <c r="E281" s="34">
        <v>43992</v>
      </c>
    </row>
    <row r="282" spans="1:5" ht="29.4" thickBot="1">
      <c r="A282" s="36" t="s">
        <v>1225</v>
      </c>
      <c r="B282" s="37" t="s">
        <v>1226</v>
      </c>
      <c r="C282" s="37" t="s">
        <v>7</v>
      </c>
      <c r="D282" s="33">
        <v>38253</v>
      </c>
      <c r="E282" s="34">
        <v>44022</v>
      </c>
    </row>
    <row r="283" spans="1:5" ht="29.4" thickBot="1">
      <c r="A283" s="36" t="s">
        <v>1227</v>
      </c>
      <c r="B283" s="37" t="s">
        <v>1228</v>
      </c>
      <c r="C283" s="37" t="s">
        <v>7</v>
      </c>
      <c r="D283" s="33">
        <v>40807</v>
      </c>
      <c r="E283" s="34">
        <v>44053</v>
      </c>
    </row>
    <row r="284" spans="1:5" ht="29.4" thickBot="1">
      <c r="A284" s="36" t="s">
        <v>1229</v>
      </c>
      <c r="B284" s="37" t="s">
        <v>1230</v>
      </c>
      <c r="C284" s="37" t="s">
        <v>16</v>
      </c>
      <c r="D284" s="33">
        <v>57130</v>
      </c>
      <c r="E284" s="34">
        <v>44084</v>
      </c>
    </row>
    <row r="285" spans="1:5" ht="29.4" thickBot="1">
      <c r="A285" s="36" t="s">
        <v>1231</v>
      </c>
      <c r="B285" s="37" t="s">
        <v>1232</v>
      </c>
      <c r="C285" s="37" t="s">
        <v>13</v>
      </c>
      <c r="D285" s="33">
        <v>74930</v>
      </c>
      <c r="E285" s="34">
        <v>44114</v>
      </c>
    </row>
    <row r="286" spans="1:5" ht="29.4" thickBot="1">
      <c r="A286" s="36" t="s">
        <v>1233</v>
      </c>
      <c r="B286" s="37" t="s">
        <v>1234</v>
      </c>
      <c r="C286" s="37" t="s">
        <v>7</v>
      </c>
      <c r="D286" s="33">
        <v>46986</v>
      </c>
      <c r="E286" s="34">
        <v>44145</v>
      </c>
    </row>
    <row r="287" spans="1:5" ht="29.4" thickBot="1">
      <c r="A287" s="36" t="s">
        <v>1235</v>
      </c>
      <c r="B287" s="37" t="s">
        <v>1236</v>
      </c>
      <c r="C287" s="37" t="s">
        <v>13</v>
      </c>
      <c r="D287" s="33">
        <v>85685</v>
      </c>
      <c r="E287" s="34">
        <v>44175</v>
      </c>
    </row>
    <row r="288" spans="1:5" ht="29.4" thickBot="1">
      <c r="A288" s="36" t="s">
        <v>1237</v>
      </c>
      <c r="B288" s="37" t="s">
        <v>1238</v>
      </c>
      <c r="C288" s="37" t="s">
        <v>7</v>
      </c>
      <c r="D288" s="33">
        <v>93572</v>
      </c>
      <c r="E288" s="35" t="s">
        <v>1239</v>
      </c>
    </row>
    <row r="289" spans="1:5" ht="29.4" thickBot="1">
      <c r="A289" s="36" t="s">
        <v>1240</v>
      </c>
      <c r="B289" s="37" t="s">
        <v>1241</v>
      </c>
      <c r="C289" s="37" t="s">
        <v>13</v>
      </c>
      <c r="D289" s="33">
        <v>85116</v>
      </c>
      <c r="E289" s="35" t="s">
        <v>1242</v>
      </c>
    </row>
    <row r="290" spans="1:5" ht="29.4" thickBot="1">
      <c r="A290" s="36" t="s">
        <v>1243</v>
      </c>
      <c r="B290" s="37" t="s">
        <v>1244</v>
      </c>
      <c r="C290" s="37" t="s">
        <v>7</v>
      </c>
      <c r="D290" s="33">
        <v>52722</v>
      </c>
      <c r="E290" s="35" t="s">
        <v>1245</v>
      </c>
    </row>
    <row r="291" spans="1:5" ht="29.4" thickBot="1">
      <c r="A291" s="36" t="s">
        <v>1246</v>
      </c>
      <c r="B291" s="37" t="s">
        <v>1247</v>
      </c>
      <c r="C291" s="37" t="s">
        <v>10</v>
      </c>
      <c r="D291" s="33">
        <v>84936</v>
      </c>
      <c r="E291" s="35" t="s">
        <v>1248</v>
      </c>
    </row>
    <row r="292" spans="1:5" ht="29.4" thickBot="1">
      <c r="A292" s="36" t="s">
        <v>1249</v>
      </c>
      <c r="B292" s="37" t="s">
        <v>1250</v>
      </c>
      <c r="C292" s="37" t="s">
        <v>7</v>
      </c>
      <c r="D292" s="33">
        <v>73741</v>
      </c>
      <c r="E292" s="35" t="s">
        <v>1251</v>
      </c>
    </row>
    <row r="293" spans="1:5" ht="29.4" thickBot="1">
      <c r="A293" s="36" t="s">
        <v>1252</v>
      </c>
      <c r="B293" s="37" t="s">
        <v>1253</v>
      </c>
      <c r="C293" s="37" t="s">
        <v>13</v>
      </c>
      <c r="D293" s="33">
        <v>55028</v>
      </c>
      <c r="E293" s="35" t="s">
        <v>1254</v>
      </c>
    </row>
    <row r="294" spans="1:5" ht="29.4" thickBot="1">
      <c r="A294" s="36" t="s">
        <v>1255</v>
      </c>
      <c r="B294" s="37" t="s">
        <v>1256</v>
      </c>
      <c r="C294" s="37" t="s">
        <v>7</v>
      </c>
      <c r="D294" s="33">
        <v>83584</v>
      </c>
      <c r="E294" s="35" t="s">
        <v>1257</v>
      </c>
    </row>
    <row r="295" spans="1:5" ht="29.4" thickBot="1">
      <c r="A295" s="36" t="s">
        <v>1258</v>
      </c>
      <c r="B295" s="37" t="s">
        <v>1259</v>
      </c>
      <c r="C295" s="37" t="s">
        <v>16</v>
      </c>
      <c r="D295" s="33">
        <v>53127</v>
      </c>
      <c r="E295" s="35" t="s">
        <v>1260</v>
      </c>
    </row>
    <row r="296" spans="1:5" ht="29.4" thickBot="1">
      <c r="A296" s="36" t="s">
        <v>1261</v>
      </c>
      <c r="B296" s="37" t="s">
        <v>1262</v>
      </c>
      <c r="C296" s="37" t="s">
        <v>7</v>
      </c>
      <c r="D296" s="33">
        <v>32007</v>
      </c>
      <c r="E296" s="35" t="s">
        <v>1263</v>
      </c>
    </row>
    <row r="297" spans="1:5" ht="29.4" thickBot="1">
      <c r="A297" s="36" t="s">
        <v>1264</v>
      </c>
      <c r="B297" s="37" t="s">
        <v>1265</v>
      </c>
      <c r="C297" s="37" t="s">
        <v>16</v>
      </c>
      <c r="D297" s="33">
        <v>37853</v>
      </c>
      <c r="E297" s="35" t="s">
        <v>1266</v>
      </c>
    </row>
    <row r="298" spans="1:5" ht="29.4" thickBot="1">
      <c r="A298" s="36" t="s">
        <v>1267</v>
      </c>
      <c r="B298" s="37" t="s">
        <v>1268</v>
      </c>
      <c r="C298" s="37" t="s">
        <v>19</v>
      </c>
      <c r="D298" s="33">
        <v>62039</v>
      </c>
      <c r="E298" s="35" t="s">
        <v>1269</v>
      </c>
    </row>
    <row r="299" spans="1:5" ht="29.4" thickBot="1">
      <c r="A299" s="36" t="s">
        <v>1270</v>
      </c>
      <c r="B299" s="37" t="s">
        <v>1271</v>
      </c>
      <c r="C299" s="37" t="s">
        <v>10</v>
      </c>
      <c r="D299" s="33">
        <v>85293</v>
      </c>
      <c r="E299" s="35" t="s">
        <v>1272</v>
      </c>
    </row>
    <row r="300" spans="1:5" ht="29.4" thickBot="1">
      <c r="A300" s="36" t="s">
        <v>1273</v>
      </c>
      <c r="B300" s="37" t="s">
        <v>1274</v>
      </c>
      <c r="C300" s="37" t="s">
        <v>13</v>
      </c>
      <c r="D300" s="33">
        <v>79270</v>
      </c>
      <c r="E300" s="35" t="s">
        <v>1275</v>
      </c>
    </row>
    <row r="301" spans="1:5" ht="29.4" thickBot="1">
      <c r="A301" s="36" t="s">
        <v>1276</v>
      </c>
      <c r="B301" s="37" t="s">
        <v>1277</v>
      </c>
      <c r="C301" s="37" t="s">
        <v>10</v>
      </c>
      <c r="D301" s="33">
        <v>32957</v>
      </c>
      <c r="E301" s="35" t="s">
        <v>1278</v>
      </c>
    </row>
    <row r="302" spans="1:5" ht="29.4" thickBot="1">
      <c r="A302" s="36" t="s">
        <v>1279</v>
      </c>
      <c r="B302" s="37" t="s">
        <v>1280</v>
      </c>
      <c r="C302" s="37" t="s">
        <v>16</v>
      </c>
      <c r="D302" s="33">
        <v>58931</v>
      </c>
      <c r="E302" s="35" t="s">
        <v>1281</v>
      </c>
    </row>
    <row r="303" spans="1:5" ht="29.4" thickBot="1">
      <c r="A303" s="36" t="s">
        <v>1282</v>
      </c>
      <c r="B303" s="37" t="s">
        <v>1283</v>
      </c>
      <c r="C303" s="37" t="s">
        <v>7</v>
      </c>
      <c r="D303" s="33">
        <v>86055</v>
      </c>
      <c r="E303" s="35" t="s">
        <v>1284</v>
      </c>
    </row>
    <row r="304" spans="1:5" ht="29.4" thickBot="1">
      <c r="A304" s="36" t="s">
        <v>1285</v>
      </c>
      <c r="B304" s="37" t="s">
        <v>1286</v>
      </c>
      <c r="C304" s="37" t="s">
        <v>10</v>
      </c>
      <c r="D304" s="33">
        <v>82776</v>
      </c>
      <c r="E304" s="35" t="s">
        <v>1287</v>
      </c>
    </row>
    <row r="305" spans="1:5" ht="29.4" thickBot="1">
      <c r="A305" s="36" t="s">
        <v>1288</v>
      </c>
      <c r="B305" s="37" t="s">
        <v>1289</v>
      </c>
      <c r="C305" s="37" t="s">
        <v>13</v>
      </c>
      <c r="D305" s="33">
        <v>58946</v>
      </c>
      <c r="E305" s="35" t="s">
        <v>1290</v>
      </c>
    </row>
    <row r="306" spans="1:5" ht="29.4" thickBot="1">
      <c r="A306" s="36" t="s">
        <v>1291</v>
      </c>
      <c r="B306" s="37" t="s">
        <v>1292</v>
      </c>
      <c r="C306" s="37" t="s">
        <v>7</v>
      </c>
      <c r="D306" s="33">
        <v>96601</v>
      </c>
      <c r="E306" s="35" t="s">
        <v>1293</v>
      </c>
    </row>
    <row r="307" spans="1:5" ht="29.4" thickBot="1">
      <c r="A307" s="36" t="s">
        <v>1294</v>
      </c>
      <c r="B307" s="37" t="s">
        <v>1295</v>
      </c>
      <c r="C307" s="37" t="s">
        <v>16</v>
      </c>
      <c r="D307" s="33">
        <v>61353</v>
      </c>
      <c r="E307" s="34">
        <v>43841</v>
      </c>
    </row>
    <row r="308" spans="1:5" ht="29.4" thickBot="1">
      <c r="A308" s="36" t="s">
        <v>1296</v>
      </c>
      <c r="B308" s="37" t="s">
        <v>1297</v>
      </c>
      <c r="C308" s="37" t="s">
        <v>19</v>
      </c>
      <c r="D308" s="33">
        <v>75962</v>
      </c>
      <c r="E308" s="34">
        <v>43872</v>
      </c>
    </row>
    <row r="309" spans="1:5" ht="29.4" thickBot="1">
      <c r="A309" s="36" t="s">
        <v>1298</v>
      </c>
      <c r="B309" s="37" t="s">
        <v>1299</v>
      </c>
      <c r="C309" s="37" t="s">
        <v>16</v>
      </c>
      <c r="D309" s="33">
        <v>54569</v>
      </c>
      <c r="E309" s="34">
        <v>43901</v>
      </c>
    </row>
    <row r="310" spans="1:5" ht="29.4" thickBot="1">
      <c r="A310" s="36" t="s">
        <v>1300</v>
      </c>
      <c r="B310" s="37" t="s">
        <v>1301</v>
      </c>
      <c r="C310" s="37" t="s">
        <v>16</v>
      </c>
      <c r="D310" s="33">
        <v>53173</v>
      </c>
      <c r="E310" s="34">
        <v>43932</v>
      </c>
    </row>
    <row r="311" spans="1:5" ht="29.4" thickBot="1">
      <c r="A311" s="36" t="s">
        <v>1302</v>
      </c>
      <c r="B311" s="37" t="s">
        <v>1303</v>
      </c>
      <c r="C311" s="37" t="s">
        <v>10</v>
      </c>
      <c r="D311" s="33">
        <v>90312</v>
      </c>
      <c r="E311" s="34">
        <v>43962</v>
      </c>
    </row>
    <row r="312" spans="1:5" ht="29.4" thickBot="1">
      <c r="A312" s="36" t="s">
        <v>1304</v>
      </c>
      <c r="B312" s="37" t="s">
        <v>1305</v>
      </c>
      <c r="C312" s="37" t="s">
        <v>7</v>
      </c>
      <c r="D312" s="33">
        <v>85906</v>
      </c>
      <c r="E312" s="34">
        <v>43993</v>
      </c>
    </row>
    <row r="313" spans="1:5" ht="29.4" thickBot="1">
      <c r="A313" s="36" t="s">
        <v>1306</v>
      </c>
      <c r="B313" s="37" t="s">
        <v>1307</v>
      </c>
      <c r="C313" s="37" t="s">
        <v>16</v>
      </c>
      <c r="D313" s="33">
        <v>45533</v>
      </c>
      <c r="E313" s="34">
        <v>44023</v>
      </c>
    </row>
    <row r="314" spans="1:5" ht="29.4" thickBot="1">
      <c r="A314" s="36" t="s">
        <v>1308</v>
      </c>
      <c r="B314" s="37" t="s">
        <v>1309</v>
      </c>
      <c r="C314" s="37" t="s">
        <v>13</v>
      </c>
      <c r="D314" s="33">
        <v>99343</v>
      </c>
      <c r="E314" s="34">
        <v>44054</v>
      </c>
    </row>
    <row r="315" spans="1:5" ht="29.4" thickBot="1">
      <c r="A315" s="36" t="s">
        <v>1310</v>
      </c>
      <c r="B315" s="37" t="s">
        <v>1311</v>
      </c>
      <c r="C315" s="37" t="s">
        <v>7</v>
      </c>
      <c r="D315" s="33">
        <v>56359</v>
      </c>
      <c r="E315" s="34">
        <v>44085</v>
      </c>
    </row>
    <row r="316" spans="1:5" ht="29.4" thickBot="1">
      <c r="A316" s="36" t="s">
        <v>1312</v>
      </c>
      <c r="B316" s="37" t="s">
        <v>1313</v>
      </c>
      <c r="C316" s="37" t="s">
        <v>16</v>
      </c>
      <c r="D316" s="33">
        <v>36682</v>
      </c>
      <c r="E316" s="34">
        <v>44115</v>
      </c>
    </row>
    <row r="317" spans="1:5" ht="29.4" thickBot="1">
      <c r="A317" s="36" t="s">
        <v>1314</v>
      </c>
      <c r="B317" s="37" t="s">
        <v>1315</v>
      </c>
      <c r="C317" s="37" t="s">
        <v>10</v>
      </c>
      <c r="D317" s="33">
        <v>60291</v>
      </c>
      <c r="E317" s="34">
        <v>44146</v>
      </c>
    </row>
    <row r="318" spans="1:5" ht="29.4" thickBot="1">
      <c r="A318" s="36" t="s">
        <v>1316</v>
      </c>
      <c r="B318" s="37" t="s">
        <v>1317</v>
      </c>
      <c r="C318" s="37" t="s">
        <v>16</v>
      </c>
      <c r="D318" s="33">
        <v>39536</v>
      </c>
      <c r="E318" s="34">
        <v>44176</v>
      </c>
    </row>
    <row r="319" spans="1:5" ht="29.4" thickBot="1">
      <c r="A319" s="36" t="s">
        <v>1318</v>
      </c>
      <c r="B319" s="37" t="s">
        <v>1319</v>
      </c>
      <c r="C319" s="37" t="s">
        <v>13</v>
      </c>
      <c r="D319" s="33">
        <v>92348</v>
      </c>
      <c r="E319" s="35" t="s">
        <v>1320</v>
      </c>
    </row>
    <row r="320" spans="1:5" ht="29.4" thickBot="1">
      <c r="A320" s="36" t="s">
        <v>1321</v>
      </c>
      <c r="B320" s="37" t="s">
        <v>1322</v>
      </c>
      <c r="C320" s="37" t="s">
        <v>13</v>
      </c>
      <c r="D320" s="33">
        <v>88982</v>
      </c>
      <c r="E320" s="35" t="s">
        <v>1323</v>
      </c>
    </row>
    <row r="321" spans="1:5" ht="29.4" thickBot="1">
      <c r="A321" s="36" t="s">
        <v>1324</v>
      </c>
      <c r="B321" s="37" t="s">
        <v>1325</v>
      </c>
      <c r="C321" s="37" t="s">
        <v>7</v>
      </c>
      <c r="D321" s="33">
        <v>61866</v>
      </c>
      <c r="E321" s="35" t="s">
        <v>1326</v>
      </c>
    </row>
    <row r="322" spans="1:5" ht="29.4" thickBot="1">
      <c r="A322" s="36" t="s">
        <v>1327</v>
      </c>
      <c r="B322" s="37" t="s">
        <v>1328</v>
      </c>
      <c r="C322" s="37" t="s">
        <v>7</v>
      </c>
      <c r="D322" s="33">
        <v>61657</v>
      </c>
      <c r="E322" s="35" t="s">
        <v>1329</v>
      </c>
    </row>
    <row r="323" spans="1:5" ht="29.4" thickBot="1">
      <c r="A323" s="36" t="s">
        <v>1330</v>
      </c>
      <c r="B323" s="37" t="s">
        <v>1331</v>
      </c>
      <c r="C323" s="37" t="s">
        <v>10</v>
      </c>
      <c r="D323" s="33">
        <v>88608</v>
      </c>
      <c r="E323" s="35" t="s">
        <v>1332</v>
      </c>
    </row>
    <row r="324" spans="1:5" ht="29.4" thickBot="1">
      <c r="A324" s="36" t="s">
        <v>1333</v>
      </c>
      <c r="B324" s="37" t="s">
        <v>1334</v>
      </c>
      <c r="C324" s="37" t="s">
        <v>13</v>
      </c>
      <c r="D324" s="33">
        <v>69391</v>
      </c>
      <c r="E324" s="35" t="s">
        <v>1335</v>
      </c>
    </row>
    <row r="325" spans="1:5" ht="29.4" thickBot="1">
      <c r="A325" s="36" t="s">
        <v>1336</v>
      </c>
      <c r="B325" s="37" t="s">
        <v>1337</v>
      </c>
      <c r="C325" s="37" t="s">
        <v>16</v>
      </c>
      <c r="D325" s="33">
        <v>52225</v>
      </c>
      <c r="E325" s="35" t="s">
        <v>1338</v>
      </c>
    </row>
    <row r="326" spans="1:5" ht="29.4" thickBot="1">
      <c r="A326" s="36" t="s">
        <v>1339</v>
      </c>
      <c r="B326" s="37" t="s">
        <v>1340</v>
      </c>
      <c r="C326" s="37" t="s">
        <v>10</v>
      </c>
      <c r="D326" s="33">
        <v>45384</v>
      </c>
      <c r="E326" s="35" t="s">
        <v>1341</v>
      </c>
    </row>
    <row r="327" spans="1:5" ht="29.4" thickBot="1">
      <c r="A327" s="36" t="s">
        <v>1342</v>
      </c>
      <c r="B327" s="37" t="s">
        <v>1343</v>
      </c>
      <c r="C327" s="37" t="s">
        <v>10</v>
      </c>
      <c r="D327" s="33">
        <v>62550</v>
      </c>
      <c r="E327" s="35" t="s">
        <v>1344</v>
      </c>
    </row>
    <row r="328" spans="1:5" ht="29.4" thickBot="1">
      <c r="A328" s="36" t="s">
        <v>1345</v>
      </c>
      <c r="B328" s="37" t="s">
        <v>1346</v>
      </c>
      <c r="C328" s="37" t="s">
        <v>13</v>
      </c>
      <c r="D328" s="33">
        <v>73393</v>
      </c>
      <c r="E328" s="35" t="s">
        <v>1347</v>
      </c>
    </row>
    <row r="329" spans="1:5" ht="29.4" thickBot="1">
      <c r="A329" s="36" t="s">
        <v>1348</v>
      </c>
      <c r="B329" s="37" t="s">
        <v>1349</v>
      </c>
      <c r="C329" s="37" t="s">
        <v>16</v>
      </c>
      <c r="D329" s="33">
        <v>78593</v>
      </c>
      <c r="E329" s="35" t="s">
        <v>1350</v>
      </c>
    </row>
    <row r="330" spans="1:5" ht="29.4" thickBot="1">
      <c r="A330" s="36" t="s">
        <v>1351</v>
      </c>
      <c r="B330" s="37" t="s">
        <v>1352</v>
      </c>
      <c r="C330" s="37" t="s">
        <v>19</v>
      </c>
      <c r="D330" s="33">
        <v>53704</v>
      </c>
      <c r="E330" s="35" t="s">
        <v>1353</v>
      </c>
    </row>
    <row r="331" spans="1:5" ht="29.4" thickBot="1">
      <c r="A331" s="36" t="s">
        <v>1354</v>
      </c>
      <c r="B331" s="37" t="s">
        <v>1355</v>
      </c>
      <c r="C331" s="37" t="s">
        <v>19</v>
      </c>
      <c r="D331" s="33">
        <v>58125</v>
      </c>
      <c r="E331" s="35" t="s">
        <v>1356</v>
      </c>
    </row>
    <row r="332" spans="1:5" ht="29.4" thickBot="1">
      <c r="A332" s="36" t="s">
        <v>1357</v>
      </c>
      <c r="B332" s="37" t="s">
        <v>1358</v>
      </c>
      <c r="C332" s="37" t="s">
        <v>16</v>
      </c>
      <c r="D332" s="33">
        <v>58988</v>
      </c>
      <c r="E332" s="35" t="s">
        <v>1359</v>
      </c>
    </row>
    <row r="333" spans="1:5" ht="29.4" thickBot="1">
      <c r="A333" s="36" t="s">
        <v>1360</v>
      </c>
      <c r="B333" s="37" t="s">
        <v>1361</v>
      </c>
      <c r="C333" s="37" t="s">
        <v>19</v>
      </c>
      <c r="D333" s="33">
        <v>56109</v>
      </c>
      <c r="E333" s="35" t="s">
        <v>1362</v>
      </c>
    </row>
    <row r="334" spans="1:5" ht="29.4" thickBot="1">
      <c r="A334" s="36" t="s">
        <v>1363</v>
      </c>
      <c r="B334" s="37" t="s">
        <v>1364</v>
      </c>
      <c r="C334" s="37" t="s">
        <v>7</v>
      </c>
      <c r="D334" s="33">
        <v>75357</v>
      </c>
      <c r="E334" s="35" t="s">
        <v>1365</v>
      </c>
    </row>
    <row r="335" spans="1:5" ht="29.4" thickBot="1">
      <c r="A335" s="36" t="s">
        <v>1366</v>
      </c>
      <c r="B335" s="37" t="s">
        <v>1367</v>
      </c>
      <c r="C335" s="37" t="s">
        <v>13</v>
      </c>
      <c r="D335" s="33">
        <v>72922</v>
      </c>
      <c r="E335" s="35" t="s">
        <v>1368</v>
      </c>
    </row>
    <row r="336" spans="1:5" ht="29.4" thickBot="1">
      <c r="A336" s="36" t="s">
        <v>1369</v>
      </c>
      <c r="B336" s="37" t="s">
        <v>1370</v>
      </c>
      <c r="C336" s="37" t="s">
        <v>19</v>
      </c>
      <c r="D336" s="33">
        <v>35857</v>
      </c>
      <c r="E336" s="35" t="s">
        <v>1371</v>
      </c>
    </row>
    <row r="337" spans="1:5" ht="29.4" thickBot="1">
      <c r="A337" s="36" t="s">
        <v>1372</v>
      </c>
      <c r="B337" s="37" t="s">
        <v>1373</v>
      </c>
      <c r="C337" s="37" t="s">
        <v>7</v>
      </c>
      <c r="D337" s="33">
        <v>62935</v>
      </c>
      <c r="E337" s="34">
        <v>43842</v>
      </c>
    </row>
    <row r="338" spans="1:5" ht="29.4" thickBot="1">
      <c r="A338" s="36" t="s">
        <v>1374</v>
      </c>
      <c r="B338" s="37" t="s">
        <v>1375</v>
      </c>
      <c r="C338" s="37" t="s">
        <v>7</v>
      </c>
      <c r="D338" s="33">
        <v>48788</v>
      </c>
      <c r="E338" s="34">
        <v>43873</v>
      </c>
    </row>
    <row r="339" spans="1:5" ht="29.4" thickBot="1">
      <c r="A339" s="36" t="s">
        <v>1376</v>
      </c>
      <c r="B339" s="37" t="s">
        <v>1377</v>
      </c>
      <c r="C339" s="37" t="s">
        <v>16</v>
      </c>
      <c r="D339" s="33">
        <v>95814</v>
      </c>
      <c r="E339" s="34">
        <v>43902</v>
      </c>
    </row>
    <row r="340" spans="1:5" ht="29.4" thickBot="1">
      <c r="A340" s="36" t="s">
        <v>1378</v>
      </c>
      <c r="B340" s="37" t="s">
        <v>1379</v>
      </c>
      <c r="C340" s="37" t="s">
        <v>10</v>
      </c>
      <c r="D340" s="33">
        <v>92881</v>
      </c>
      <c r="E340" s="34">
        <v>43933</v>
      </c>
    </row>
    <row r="341" spans="1:5" ht="29.4" thickBot="1">
      <c r="A341" s="36" t="s">
        <v>1380</v>
      </c>
      <c r="B341" s="37" t="s">
        <v>1381</v>
      </c>
      <c r="C341" s="37" t="s">
        <v>13</v>
      </c>
      <c r="D341" s="33">
        <v>70734</v>
      </c>
      <c r="E341" s="34">
        <v>43963</v>
      </c>
    </row>
    <row r="342" spans="1:5" ht="29.4" thickBot="1">
      <c r="A342" s="36" t="s">
        <v>1382</v>
      </c>
      <c r="B342" s="37" t="s">
        <v>1383</v>
      </c>
      <c r="C342" s="37" t="s">
        <v>13</v>
      </c>
      <c r="D342" s="33">
        <v>72524</v>
      </c>
      <c r="E342" s="34">
        <v>43994</v>
      </c>
    </row>
    <row r="343" spans="1:5" ht="29.4" thickBot="1">
      <c r="A343" s="36" t="s">
        <v>1384</v>
      </c>
      <c r="B343" s="37" t="s">
        <v>1385</v>
      </c>
      <c r="C343" s="37" t="s">
        <v>16</v>
      </c>
      <c r="D343" s="33">
        <v>91078</v>
      </c>
      <c r="E343" s="34">
        <v>44024</v>
      </c>
    </row>
    <row r="344" spans="1:5" ht="29.4" thickBot="1">
      <c r="A344" s="36" t="s">
        <v>1386</v>
      </c>
      <c r="B344" s="37" t="s">
        <v>1387</v>
      </c>
      <c r="C344" s="37" t="s">
        <v>16</v>
      </c>
      <c r="D344" s="33">
        <v>97383</v>
      </c>
      <c r="E344" s="34">
        <v>44055</v>
      </c>
    </row>
    <row r="345" spans="1:5" ht="29.4" thickBot="1">
      <c r="A345" s="36" t="s">
        <v>1388</v>
      </c>
      <c r="B345" s="37" t="s">
        <v>1389</v>
      </c>
      <c r="C345" s="37" t="s">
        <v>7</v>
      </c>
      <c r="D345" s="33">
        <v>88485</v>
      </c>
      <c r="E345" s="34">
        <v>44086</v>
      </c>
    </row>
    <row r="346" spans="1:5" ht="29.4" thickBot="1">
      <c r="A346" s="36" t="s">
        <v>1390</v>
      </c>
      <c r="B346" s="37" t="s">
        <v>1391</v>
      </c>
      <c r="C346" s="37" t="s">
        <v>10</v>
      </c>
      <c r="D346" s="33">
        <v>94176</v>
      </c>
      <c r="E346" s="34">
        <v>44116</v>
      </c>
    </row>
    <row r="347" spans="1:5" ht="29.4" thickBot="1">
      <c r="A347" s="36" t="s">
        <v>1392</v>
      </c>
      <c r="B347" s="37" t="s">
        <v>1393</v>
      </c>
      <c r="C347" s="37" t="s">
        <v>19</v>
      </c>
      <c r="D347" s="33">
        <v>68258</v>
      </c>
      <c r="E347" s="34">
        <v>44147</v>
      </c>
    </row>
    <row r="348" spans="1:5" ht="29.4" thickBot="1">
      <c r="A348" s="36" t="s">
        <v>1394</v>
      </c>
      <c r="B348" s="37" t="s">
        <v>1395</v>
      </c>
      <c r="C348" s="37" t="s">
        <v>7</v>
      </c>
      <c r="D348" s="33">
        <v>31398</v>
      </c>
      <c r="E348" s="34">
        <v>44177</v>
      </c>
    </row>
    <row r="349" spans="1:5" ht="29.4" thickBot="1">
      <c r="A349" s="36" t="s">
        <v>1396</v>
      </c>
      <c r="B349" s="37" t="s">
        <v>1397</v>
      </c>
      <c r="C349" s="37" t="s">
        <v>10</v>
      </c>
      <c r="D349" s="33">
        <v>95302</v>
      </c>
      <c r="E349" s="35" t="s">
        <v>1398</v>
      </c>
    </row>
    <row r="350" spans="1:5" ht="29.4" thickBot="1">
      <c r="A350" s="36" t="s">
        <v>1399</v>
      </c>
      <c r="B350" s="37" t="s">
        <v>1400</v>
      </c>
      <c r="C350" s="37" t="s">
        <v>19</v>
      </c>
      <c r="D350" s="33">
        <v>71264</v>
      </c>
      <c r="E350" s="35" t="s">
        <v>1401</v>
      </c>
    </row>
    <row r="351" spans="1:5" ht="29.4" thickBot="1">
      <c r="A351" s="36" t="s">
        <v>1402</v>
      </c>
      <c r="B351" s="37" t="s">
        <v>1403</v>
      </c>
      <c r="C351" s="37" t="s">
        <v>16</v>
      </c>
      <c r="D351" s="33">
        <v>59503</v>
      </c>
      <c r="E351" s="35" t="s">
        <v>1404</v>
      </c>
    </row>
    <row r="352" spans="1:5" ht="29.4" thickBot="1">
      <c r="A352" s="36" t="s">
        <v>1405</v>
      </c>
      <c r="B352" s="37" t="s">
        <v>1406</v>
      </c>
      <c r="C352" s="37" t="s">
        <v>13</v>
      </c>
      <c r="D352" s="33">
        <v>51475</v>
      </c>
      <c r="E352" s="35" t="s">
        <v>1407</v>
      </c>
    </row>
    <row r="353" spans="1:5" ht="29.4" thickBot="1">
      <c r="A353" s="36" t="s">
        <v>1408</v>
      </c>
      <c r="B353" s="37" t="s">
        <v>1409</v>
      </c>
      <c r="C353" s="37" t="s">
        <v>7</v>
      </c>
      <c r="D353" s="33">
        <v>50003</v>
      </c>
      <c r="E353" s="35" t="s">
        <v>1410</v>
      </c>
    </row>
    <row r="354" spans="1:5" ht="29.4" thickBot="1">
      <c r="A354" s="36" t="s">
        <v>1411</v>
      </c>
      <c r="B354" s="37" t="s">
        <v>1412</v>
      </c>
      <c r="C354" s="37" t="s">
        <v>13</v>
      </c>
      <c r="D354" s="33">
        <v>37924</v>
      </c>
      <c r="E354" s="35" t="s">
        <v>1413</v>
      </c>
    </row>
    <row r="355" spans="1:5" ht="29.4" thickBot="1">
      <c r="A355" s="36" t="s">
        <v>1414</v>
      </c>
      <c r="B355" s="37" t="s">
        <v>1415</v>
      </c>
      <c r="C355" s="37" t="s">
        <v>10</v>
      </c>
      <c r="D355" s="33">
        <v>98516</v>
      </c>
      <c r="E355" s="35" t="s">
        <v>1416</v>
      </c>
    </row>
    <row r="356" spans="1:5" ht="29.4" thickBot="1">
      <c r="A356" s="36" t="s">
        <v>1417</v>
      </c>
      <c r="B356" s="37" t="s">
        <v>1418</v>
      </c>
      <c r="C356" s="37" t="s">
        <v>7</v>
      </c>
      <c r="D356" s="33">
        <v>43282</v>
      </c>
      <c r="E356" s="35" t="s">
        <v>1419</v>
      </c>
    </row>
    <row r="357" spans="1:5" ht="29.4" thickBot="1">
      <c r="A357" s="36" t="s">
        <v>1420</v>
      </c>
      <c r="B357" s="37" t="s">
        <v>1421</v>
      </c>
      <c r="C357" s="37" t="s">
        <v>13</v>
      </c>
      <c r="D357" s="33">
        <v>34841</v>
      </c>
      <c r="E357" s="35" t="s">
        <v>1422</v>
      </c>
    </row>
    <row r="358" spans="1:5" ht="29.4" thickBot="1">
      <c r="A358" s="36" t="s">
        <v>1423</v>
      </c>
      <c r="B358" s="37" t="s">
        <v>1424</v>
      </c>
      <c r="C358" s="37" t="s">
        <v>10</v>
      </c>
      <c r="D358" s="33">
        <v>82719</v>
      </c>
      <c r="E358" s="35" t="s">
        <v>1425</v>
      </c>
    </row>
    <row r="359" spans="1:5" ht="29.4" thickBot="1">
      <c r="A359" s="36" t="s">
        <v>1426</v>
      </c>
      <c r="B359" s="37" t="s">
        <v>1427</v>
      </c>
      <c r="C359" s="37" t="s">
        <v>13</v>
      </c>
      <c r="D359" s="33">
        <v>92425</v>
      </c>
      <c r="E359" s="35" t="s">
        <v>1428</v>
      </c>
    </row>
    <row r="360" spans="1:5" ht="29.4" thickBot="1">
      <c r="A360" s="36" t="s">
        <v>1429</v>
      </c>
      <c r="B360" s="37" t="s">
        <v>1430</v>
      </c>
      <c r="C360" s="37" t="s">
        <v>16</v>
      </c>
      <c r="D360" s="33">
        <v>46796</v>
      </c>
      <c r="E360" s="35" t="s">
        <v>1431</v>
      </c>
    </row>
    <row r="361" spans="1:5" ht="29.4" thickBot="1">
      <c r="A361" s="36" t="s">
        <v>1432</v>
      </c>
      <c r="B361" s="37" t="s">
        <v>1433</v>
      </c>
      <c r="C361" s="37" t="s">
        <v>13</v>
      </c>
      <c r="D361" s="33">
        <v>57213</v>
      </c>
      <c r="E361" s="35" t="s">
        <v>1434</v>
      </c>
    </row>
    <row r="362" spans="1:5" ht="29.4" thickBot="1">
      <c r="A362" s="36" t="s">
        <v>1435</v>
      </c>
      <c r="B362" s="37" t="s">
        <v>1436</v>
      </c>
      <c r="C362" s="37" t="s">
        <v>16</v>
      </c>
      <c r="D362" s="33">
        <v>69926</v>
      </c>
      <c r="E362" s="35" t="s">
        <v>1437</v>
      </c>
    </row>
    <row r="363" spans="1:5" ht="29.4" thickBot="1">
      <c r="A363" s="36" t="s">
        <v>1438</v>
      </c>
      <c r="B363" s="37" t="s">
        <v>1439</v>
      </c>
      <c r="C363" s="37" t="s">
        <v>19</v>
      </c>
      <c r="D363" s="33">
        <v>62186</v>
      </c>
      <c r="E363" s="35" t="s">
        <v>1440</v>
      </c>
    </row>
    <row r="364" spans="1:5" ht="29.4" thickBot="1">
      <c r="A364" s="36" t="s">
        <v>1441</v>
      </c>
      <c r="B364" s="37" t="s">
        <v>1442</v>
      </c>
      <c r="C364" s="37" t="s">
        <v>19</v>
      </c>
      <c r="D364" s="33">
        <v>94136</v>
      </c>
      <c r="E364" s="35" t="s">
        <v>1443</v>
      </c>
    </row>
    <row r="365" spans="1:5" ht="29.4" thickBot="1">
      <c r="A365" s="36" t="s">
        <v>1444</v>
      </c>
      <c r="B365" s="37" t="s">
        <v>1445</v>
      </c>
      <c r="C365" s="37" t="s">
        <v>10</v>
      </c>
      <c r="D365" s="33">
        <v>59759</v>
      </c>
      <c r="E365" s="35" t="s">
        <v>1446</v>
      </c>
    </row>
    <row r="366" spans="1:5" ht="29.4" thickBot="1">
      <c r="A366" s="36" t="s">
        <v>1447</v>
      </c>
      <c r="B366" s="37" t="s">
        <v>1448</v>
      </c>
      <c r="C366" s="37" t="s">
        <v>13</v>
      </c>
      <c r="D366" s="33">
        <v>98652</v>
      </c>
      <c r="E366" s="35" t="s">
        <v>1449</v>
      </c>
    </row>
    <row r="367" spans="1:5" ht="29.4" thickBot="1">
      <c r="A367" s="36" t="s">
        <v>1450</v>
      </c>
      <c r="B367" s="37" t="s">
        <v>1451</v>
      </c>
      <c r="C367" s="37" t="s">
        <v>19</v>
      </c>
      <c r="D367" s="33">
        <v>46545</v>
      </c>
      <c r="E367" s="35" t="s">
        <v>1452</v>
      </c>
    </row>
    <row r="368" spans="1:5" ht="29.4" thickBot="1">
      <c r="A368" s="36" t="s">
        <v>1453</v>
      </c>
      <c r="B368" s="37" t="s">
        <v>1454</v>
      </c>
      <c r="C368" s="37" t="s">
        <v>16</v>
      </c>
      <c r="D368" s="33">
        <v>33457</v>
      </c>
      <c r="E368" s="34">
        <v>44197</v>
      </c>
    </row>
    <row r="369" spans="1:5" ht="29.4" thickBot="1">
      <c r="A369" s="36" t="s">
        <v>1455</v>
      </c>
      <c r="B369" s="37" t="s">
        <v>1456</v>
      </c>
      <c r="C369" s="37" t="s">
        <v>19</v>
      </c>
      <c r="D369" s="33">
        <v>84682</v>
      </c>
      <c r="E369" s="34">
        <v>44228</v>
      </c>
    </row>
    <row r="370" spans="1:5" ht="29.4" thickBot="1">
      <c r="A370" s="36" t="s">
        <v>1457</v>
      </c>
      <c r="B370" s="37" t="s">
        <v>1458</v>
      </c>
      <c r="C370" s="37" t="s">
        <v>10</v>
      </c>
      <c r="D370" s="33">
        <v>68592</v>
      </c>
      <c r="E370" s="34">
        <v>44256</v>
      </c>
    </row>
    <row r="371" spans="1:5" ht="29.4" thickBot="1">
      <c r="A371" s="36" t="s">
        <v>1459</v>
      </c>
      <c r="B371" s="37" t="s">
        <v>1460</v>
      </c>
      <c r="C371" s="37" t="s">
        <v>10</v>
      </c>
      <c r="D371" s="33">
        <v>63032</v>
      </c>
      <c r="E371" s="34">
        <v>44287</v>
      </c>
    </row>
    <row r="372" spans="1:5" ht="29.4" thickBot="1">
      <c r="A372" s="36" t="s">
        <v>1461</v>
      </c>
      <c r="B372" s="37" t="s">
        <v>1462</v>
      </c>
      <c r="C372" s="37" t="s">
        <v>16</v>
      </c>
      <c r="D372" s="33">
        <v>76912</v>
      </c>
      <c r="E372" s="34">
        <v>44317</v>
      </c>
    </row>
    <row r="373" spans="1:5" ht="29.4" thickBot="1">
      <c r="A373" s="36" t="s">
        <v>1463</v>
      </c>
      <c r="B373" s="37" t="s">
        <v>1464</v>
      </c>
      <c r="C373" s="37" t="s">
        <v>7</v>
      </c>
      <c r="D373" s="33">
        <v>46100</v>
      </c>
      <c r="E373" s="34">
        <v>44348</v>
      </c>
    </row>
    <row r="374" spans="1:5" ht="29.4" thickBot="1">
      <c r="A374" s="36" t="s">
        <v>1465</v>
      </c>
      <c r="B374" s="37" t="s">
        <v>1466</v>
      </c>
      <c r="C374" s="37" t="s">
        <v>19</v>
      </c>
      <c r="D374" s="33">
        <v>48865</v>
      </c>
      <c r="E374" s="34">
        <v>44378</v>
      </c>
    </row>
    <row r="375" spans="1:5" ht="29.4" thickBot="1">
      <c r="A375" s="36" t="s">
        <v>1467</v>
      </c>
      <c r="B375" s="37" t="s">
        <v>1468</v>
      </c>
      <c r="C375" s="37" t="s">
        <v>7</v>
      </c>
      <c r="D375" s="33">
        <v>70287</v>
      </c>
      <c r="E375" s="34">
        <v>44409</v>
      </c>
    </row>
    <row r="376" spans="1:5" ht="29.4" thickBot="1">
      <c r="A376" s="36" t="s">
        <v>1469</v>
      </c>
      <c r="B376" s="37" t="s">
        <v>1470</v>
      </c>
      <c r="C376" s="37" t="s">
        <v>13</v>
      </c>
      <c r="D376" s="33">
        <v>56952</v>
      </c>
      <c r="E376" s="34">
        <v>44440</v>
      </c>
    </row>
    <row r="377" spans="1:5" ht="29.4" thickBot="1">
      <c r="A377" s="36" t="s">
        <v>1471</v>
      </c>
      <c r="B377" s="37" t="s">
        <v>1472</v>
      </c>
      <c r="C377" s="37" t="s">
        <v>16</v>
      </c>
      <c r="D377" s="33">
        <v>77045</v>
      </c>
      <c r="E377" s="34">
        <v>44470</v>
      </c>
    </row>
    <row r="378" spans="1:5" ht="29.4" thickBot="1">
      <c r="A378" s="36" t="s">
        <v>1473</v>
      </c>
      <c r="B378" s="37" t="s">
        <v>1474</v>
      </c>
      <c r="C378" s="37" t="s">
        <v>19</v>
      </c>
      <c r="D378" s="33">
        <v>69651</v>
      </c>
      <c r="E378" s="34">
        <v>44501</v>
      </c>
    </row>
    <row r="379" spans="1:5" ht="29.4" thickBot="1">
      <c r="A379" s="36" t="s">
        <v>1475</v>
      </c>
      <c r="B379" s="37" t="s">
        <v>1476</v>
      </c>
      <c r="C379" s="37" t="s">
        <v>16</v>
      </c>
      <c r="D379" s="33">
        <v>37247</v>
      </c>
      <c r="E379" s="34">
        <v>44531</v>
      </c>
    </row>
    <row r="380" spans="1:5" ht="29.4" thickBot="1">
      <c r="A380" s="36" t="s">
        <v>1477</v>
      </c>
      <c r="B380" s="37" t="s">
        <v>1478</v>
      </c>
      <c r="C380" s="37" t="s">
        <v>7</v>
      </c>
      <c r="D380" s="33">
        <v>49082</v>
      </c>
      <c r="E380" s="35" t="s">
        <v>1479</v>
      </c>
    </row>
    <row r="381" spans="1:5" ht="29.4" thickBot="1">
      <c r="A381" s="36" t="s">
        <v>1480</v>
      </c>
      <c r="B381" s="37" t="s">
        <v>1481</v>
      </c>
      <c r="C381" s="37" t="s">
        <v>19</v>
      </c>
      <c r="D381" s="33">
        <v>52906</v>
      </c>
      <c r="E381" s="35" t="s">
        <v>1482</v>
      </c>
    </row>
    <row r="382" spans="1:5" ht="29.4" thickBot="1">
      <c r="A382" s="36" t="s">
        <v>1483</v>
      </c>
      <c r="B382" s="37" t="s">
        <v>1484</v>
      </c>
      <c r="C382" s="37" t="s">
        <v>7</v>
      </c>
      <c r="D382" s="33">
        <v>95647</v>
      </c>
      <c r="E382" s="35" t="s">
        <v>1485</v>
      </c>
    </row>
    <row r="383" spans="1:5" ht="29.4" thickBot="1">
      <c r="A383" s="36" t="s">
        <v>1486</v>
      </c>
      <c r="B383" s="37" t="s">
        <v>1487</v>
      </c>
      <c r="C383" s="37" t="s">
        <v>16</v>
      </c>
      <c r="D383" s="33">
        <v>67731</v>
      </c>
      <c r="E383" s="35" t="s">
        <v>1488</v>
      </c>
    </row>
    <row r="384" spans="1:5" ht="29.4" thickBot="1">
      <c r="A384" s="36" t="s">
        <v>1489</v>
      </c>
      <c r="B384" s="37" t="s">
        <v>1490</v>
      </c>
      <c r="C384" s="37" t="s">
        <v>7</v>
      </c>
      <c r="D384" s="33">
        <v>91848</v>
      </c>
      <c r="E384" s="35" t="s">
        <v>1491</v>
      </c>
    </row>
    <row r="385" spans="1:5" ht="29.4" thickBot="1">
      <c r="A385" s="36" t="s">
        <v>1492</v>
      </c>
      <c r="B385" s="37" t="s">
        <v>1493</v>
      </c>
      <c r="C385" s="37" t="s">
        <v>10</v>
      </c>
      <c r="D385" s="33">
        <v>51443</v>
      </c>
      <c r="E385" s="35" t="s">
        <v>1494</v>
      </c>
    </row>
    <row r="386" spans="1:5" ht="29.4" thickBot="1">
      <c r="A386" s="36" t="s">
        <v>1495</v>
      </c>
      <c r="B386" s="37" t="s">
        <v>1496</v>
      </c>
      <c r="C386" s="37" t="s">
        <v>7</v>
      </c>
      <c r="D386" s="33">
        <v>42135</v>
      </c>
      <c r="E386" s="35" t="s">
        <v>1497</v>
      </c>
    </row>
    <row r="387" spans="1:5" ht="29.4" thickBot="1">
      <c r="A387" s="36" t="s">
        <v>1498</v>
      </c>
      <c r="B387" s="37" t="s">
        <v>1499</v>
      </c>
      <c r="C387" s="37" t="s">
        <v>13</v>
      </c>
      <c r="D387" s="33">
        <v>94669</v>
      </c>
      <c r="E387" s="35" t="s">
        <v>1500</v>
      </c>
    </row>
    <row r="388" spans="1:5" ht="29.4" thickBot="1">
      <c r="A388" s="36" t="s">
        <v>1501</v>
      </c>
      <c r="B388" s="37" t="s">
        <v>1502</v>
      </c>
      <c r="C388" s="37" t="s">
        <v>16</v>
      </c>
      <c r="D388" s="33">
        <v>73375</v>
      </c>
      <c r="E388" s="35" t="s">
        <v>1503</v>
      </c>
    </row>
    <row r="389" spans="1:5" ht="29.4" thickBot="1">
      <c r="A389" s="36" t="s">
        <v>1504</v>
      </c>
      <c r="B389" s="37" t="s">
        <v>1505</v>
      </c>
      <c r="C389" s="37" t="s">
        <v>10</v>
      </c>
      <c r="D389" s="33">
        <v>58783</v>
      </c>
      <c r="E389" s="35" t="s">
        <v>1506</v>
      </c>
    </row>
    <row r="390" spans="1:5" ht="29.4" thickBot="1">
      <c r="A390" s="36" t="s">
        <v>1507</v>
      </c>
      <c r="B390" s="37" t="s">
        <v>1508</v>
      </c>
      <c r="C390" s="37" t="s">
        <v>10</v>
      </c>
      <c r="D390" s="33">
        <v>90678</v>
      </c>
      <c r="E390" s="35" t="s">
        <v>1509</v>
      </c>
    </row>
    <row r="391" spans="1:5" ht="29.4" thickBot="1">
      <c r="A391" s="36" t="s">
        <v>1510</v>
      </c>
      <c r="B391" s="37" t="s">
        <v>1511</v>
      </c>
      <c r="C391" s="37" t="s">
        <v>13</v>
      </c>
      <c r="D391" s="33">
        <v>76681</v>
      </c>
      <c r="E391" s="35" t="s">
        <v>1512</v>
      </c>
    </row>
    <row r="392" spans="1:5" ht="29.4" thickBot="1">
      <c r="A392" s="36" t="s">
        <v>1513</v>
      </c>
      <c r="B392" s="37" t="s">
        <v>1514</v>
      </c>
      <c r="C392" s="37" t="s">
        <v>16</v>
      </c>
      <c r="D392" s="33">
        <v>81298</v>
      </c>
      <c r="E392" s="35" t="s">
        <v>1515</v>
      </c>
    </row>
    <row r="393" spans="1:5" ht="29.4" thickBot="1">
      <c r="A393" s="36" t="s">
        <v>1516</v>
      </c>
      <c r="B393" s="37" t="s">
        <v>1517</v>
      </c>
      <c r="C393" s="37" t="s">
        <v>13</v>
      </c>
      <c r="D393" s="33">
        <v>45918</v>
      </c>
      <c r="E393" s="35" t="s">
        <v>1518</v>
      </c>
    </row>
    <row r="394" spans="1:5" ht="29.4" thickBot="1">
      <c r="A394" s="36" t="s">
        <v>1519</v>
      </c>
      <c r="B394" s="37" t="s">
        <v>1520</v>
      </c>
      <c r="C394" s="37" t="s">
        <v>13</v>
      </c>
      <c r="D394" s="33">
        <v>70980</v>
      </c>
      <c r="E394" s="35" t="s">
        <v>1521</v>
      </c>
    </row>
    <row r="395" spans="1:5" ht="29.4" thickBot="1">
      <c r="A395" s="36" t="s">
        <v>1522</v>
      </c>
      <c r="B395" s="37" t="s">
        <v>1523</v>
      </c>
      <c r="C395" s="37" t="s">
        <v>13</v>
      </c>
      <c r="D395" s="33">
        <v>63362</v>
      </c>
      <c r="E395" s="35" t="s">
        <v>1524</v>
      </c>
    </row>
    <row r="396" spans="1:5" ht="29.4" thickBot="1">
      <c r="A396" s="36" t="s">
        <v>1525</v>
      </c>
      <c r="B396" s="37" t="s">
        <v>1526</v>
      </c>
      <c r="C396" s="37" t="s">
        <v>13</v>
      </c>
      <c r="D396" s="33">
        <v>94587</v>
      </c>
      <c r="E396" s="35" t="s">
        <v>1527</v>
      </c>
    </row>
    <row r="397" spans="1:5" ht="29.4" thickBot="1">
      <c r="A397" s="36" t="s">
        <v>1528</v>
      </c>
      <c r="B397" s="37" t="s">
        <v>1529</v>
      </c>
      <c r="C397" s="37" t="s">
        <v>13</v>
      </c>
      <c r="D397" s="33">
        <v>62011</v>
      </c>
      <c r="E397" s="35" t="s">
        <v>1530</v>
      </c>
    </row>
    <row r="398" spans="1:5" ht="29.4" thickBot="1">
      <c r="A398" s="36" t="s">
        <v>1531</v>
      </c>
      <c r="B398" s="37" t="s">
        <v>1532</v>
      </c>
      <c r="C398" s="37" t="s">
        <v>10</v>
      </c>
      <c r="D398" s="33">
        <v>45819</v>
      </c>
      <c r="E398" s="35" t="s">
        <v>1533</v>
      </c>
    </row>
    <row r="399" spans="1:5" ht="29.4" thickBot="1">
      <c r="A399" s="36" t="s">
        <v>1534</v>
      </c>
      <c r="B399" s="37" t="s">
        <v>1535</v>
      </c>
      <c r="C399" s="37" t="s">
        <v>13</v>
      </c>
      <c r="D399" s="33">
        <v>92627</v>
      </c>
      <c r="E399" s="34">
        <v>44198</v>
      </c>
    </row>
    <row r="400" spans="1:5" ht="29.4" thickBot="1">
      <c r="A400" s="36" t="s">
        <v>1536</v>
      </c>
      <c r="B400" s="37" t="s">
        <v>1537</v>
      </c>
      <c r="C400" s="37" t="s">
        <v>19</v>
      </c>
      <c r="D400" s="33">
        <v>69697</v>
      </c>
      <c r="E400" s="34">
        <v>44229</v>
      </c>
    </row>
    <row r="401" spans="1:5" ht="29.4" thickBot="1">
      <c r="A401" s="36" t="s">
        <v>1538</v>
      </c>
      <c r="B401" s="37" t="s">
        <v>1539</v>
      </c>
      <c r="C401" s="37" t="s">
        <v>19</v>
      </c>
      <c r="D401" s="33">
        <v>70592</v>
      </c>
      <c r="E401" s="34">
        <v>44257</v>
      </c>
    </row>
    <row r="402" spans="1:5" ht="29.4" thickBot="1">
      <c r="A402" s="36" t="s">
        <v>1540</v>
      </c>
      <c r="B402" s="37" t="s">
        <v>1541</v>
      </c>
      <c r="C402" s="37" t="s">
        <v>7</v>
      </c>
      <c r="D402" s="33">
        <v>43847</v>
      </c>
      <c r="E402" s="34">
        <v>44288</v>
      </c>
    </row>
    <row r="403" spans="1:5" ht="29.4" thickBot="1">
      <c r="A403" s="36" t="s">
        <v>1542</v>
      </c>
      <c r="B403" s="37" t="s">
        <v>1543</v>
      </c>
      <c r="C403" s="37" t="s">
        <v>19</v>
      </c>
      <c r="D403" s="33">
        <v>72519</v>
      </c>
      <c r="E403" s="34">
        <v>44318</v>
      </c>
    </row>
    <row r="404" spans="1:5" ht="29.4" thickBot="1">
      <c r="A404" s="36" t="s">
        <v>1544</v>
      </c>
      <c r="B404" s="37" t="s">
        <v>1545</v>
      </c>
      <c r="C404" s="37" t="s">
        <v>7</v>
      </c>
      <c r="D404" s="33">
        <v>58666</v>
      </c>
      <c r="E404" s="34">
        <v>44349</v>
      </c>
    </row>
    <row r="405" spans="1:5" ht="29.4" thickBot="1">
      <c r="A405" s="36" t="s">
        <v>1546</v>
      </c>
      <c r="B405" s="37" t="s">
        <v>1547</v>
      </c>
      <c r="C405" s="37" t="s">
        <v>10</v>
      </c>
      <c r="D405" s="33">
        <v>55871</v>
      </c>
      <c r="E405" s="34">
        <v>44379</v>
      </c>
    </row>
    <row r="406" spans="1:5" ht="29.4" thickBot="1">
      <c r="A406" s="36" t="s">
        <v>1548</v>
      </c>
      <c r="B406" s="37" t="s">
        <v>1549</v>
      </c>
      <c r="C406" s="37" t="s">
        <v>7</v>
      </c>
      <c r="D406" s="33">
        <v>58546</v>
      </c>
      <c r="E406" s="34">
        <v>44410</v>
      </c>
    </row>
    <row r="407" spans="1:5" ht="29.4" thickBot="1">
      <c r="A407" s="36" t="s">
        <v>1550</v>
      </c>
      <c r="B407" s="37" t="s">
        <v>1551</v>
      </c>
      <c r="C407" s="37" t="s">
        <v>16</v>
      </c>
      <c r="D407" s="33">
        <v>39470</v>
      </c>
      <c r="E407" s="34">
        <v>44441</v>
      </c>
    </row>
    <row r="408" spans="1:5" ht="29.4" thickBot="1">
      <c r="A408" s="36" t="s">
        <v>1552</v>
      </c>
      <c r="B408" s="37" t="s">
        <v>1553</v>
      </c>
      <c r="C408" s="37" t="s">
        <v>10</v>
      </c>
      <c r="D408" s="33">
        <v>43485</v>
      </c>
      <c r="E408" s="34">
        <v>44471</v>
      </c>
    </row>
    <row r="409" spans="1:5" ht="29.4" thickBot="1">
      <c r="A409" s="36" t="s">
        <v>1554</v>
      </c>
      <c r="B409" s="37" t="s">
        <v>1555</v>
      </c>
      <c r="C409" s="37" t="s">
        <v>7</v>
      </c>
      <c r="D409" s="33">
        <v>52667</v>
      </c>
      <c r="E409" s="34">
        <v>44502</v>
      </c>
    </row>
    <row r="410" spans="1:5" ht="29.4" thickBot="1">
      <c r="A410" s="36" t="s">
        <v>1556</v>
      </c>
      <c r="B410" s="37" t="s">
        <v>1557</v>
      </c>
      <c r="C410" s="37" t="s">
        <v>16</v>
      </c>
      <c r="D410" s="33">
        <v>32818</v>
      </c>
      <c r="E410" s="34">
        <v>44532</v>
      </c>
    </row>
    <row r="411" spans="1:5" ht="29.4" thickBot="1">
      <c r="A411" s="36" t="s">
        <v>1558</v>
      </c>
      <c r="B411" s="37" t="s">
        <v>1559</v>
      </c>
      <c r="C411" s="37" t="s">
        <v>7</v>
      </c>
      <c r="D411" s="33">
        <v>63405</v>
      </c>
      <c r="E411" s="35" t="s">
        <v>1560</v>
      </c>
    </row>
    <row r="412" spans="1:5" ht="29.4" thickBot="1">
      <c r="A412" s="36" t="s">
        <v>1561</v>
      </c>
      <c r="B412" s="37" t="s">
        <v>1562</v>
      </c>
      <c r="C412" s="37" t="s">
        <v>13</v>
      </c>
      <c r="D412" s="33">
        <v>55341</v>
      </c>
      <c r="E412" s="35" t="s">
        <v>1563</v>
      </c>
    </row>
    <row r="413" spans="1:5" ht="29.4" thickBot="1">
      <c r="A413" s="36" t="s">
        <v>1564</v>
      </c>
      <c r="B413" s="37" t="s">
        <v>1565</v>
      </c>
      <c r="C413" s="37" t="s">
        <v>19</v>
      </c>
      <c r="D413" s="33">
        <v>31269</v>
      </c>
      <c r="E413" s="35" t="s">
        <v>1566</v>
      </c>
    </row>
    <row r="414" spans="1:5" ht="29.4" thickBot="1">
      <c r="A414" s="36" t="s">
        <v>1567</v>
      </c>
      <c r="B414" s="37" t="s">
        <v>1568</v>
      </c>
      <c r="C414" s="37" t="s">
        <v>7</v>
      </c>
      <c r="D414" s="33">
        <v>77976</v>
      </c>
      <c r="E414" s="35" t="s">
        <v>1569</v>
      </c>
    </row>
    <row r="415" spans="1:5" ht="29.4" thickBot="1">
      <c r="A415" s="36" t="s">
        <v>1570</v>
      </c>
      <c r="B415" s="37" t="s">
        <v>1571</v>
      </c>
      <c r="C415" s="37" t="s">
        <v>19</v>
      </c>
      <c r="D415" s="33">
        <v>32434</v>
      </c>
      <c r="E415" s="35" t="s">
        <v>1572</v>
      </c>
    </row>
    <row r="416" spans="1:5" ht="29.4" thickBot="1">
      <c r="A416" s="36" t="s">
        <v>1573</v>
      </c>
      <c r="B416" s="37" t="s">
        <v>1574</v>
      </c>
      <c r="C416" s="37" t="s">
        <v>16</v>
      </c>
      <c r="D416" s="33">
        <v>80343</v>
      </c>
      <c r="E416" s="35" t="s">
        <v>1575</v>
      </c>
    </row>
    <row r="417" spans="1:5" ht="29.4" thickBot="1">
      <c r="A417" s="36" t="s">
        <v>1576</v>
      </c>
      <c r="B417" s="37" t="s">
        <v>1577</v>
      </c>
      <c r="C417" s="37" t="s">
        <v>7</v>
      </c>
      <c r="D417" s="33">
        <v>61228</v>
      </c>
      <c r="E417" s="35" t="s">
        <v>1578</v>
      </c>
    </row>
    <row r="418" spans="1:5" ht="29.4" thickBot="1">
      <c r="A418" s="36" t="s">
        <v>1579</v>
      </c>
      <c r="B418" s="37" t="s">
        <v>1580</v>
      </c>
      <c r="C418" s="37" t="s">
        <v>7</v>
      </c>
      <c r="D418" s="33">
        <v>99310</v>
      </c>
      <c r="E418" s="35" t="s">
        <v>1581</v>
      </c>
    </row>
    <row r="419" spans="1:5" ht="29.4" thickBot="1">
      <c r="A419" s="36" t="s">
        <v>1582</v>
      </c>
      <c r="B419" s="37" t="s">
        <v>1583</v>
      </c>
      <c r="C419" s="37" t="s">
        <v>16</v>
      </c>
      <c r="D419" s="33">
        <v>73889</v>
      </c>
      <c r="E419" s="35" t="s">
        <v>1584</v>
      </c>
    </row>
    <row r="420" spans="1:5" ht="29.4" thickBot="1">
      <c r="A420" s="36" t="s">
        <v>1585</v>
      </c>
      <c r="B420" s="37" t="s">
        <v>1586</v>
      </c>
      <c r="C420" s="37" t="s">
        <v>16</v>
      </c>
      <c r="D420" s="33">
        <v>48338</v>
      </c>
      <c r="E420" s="35" t="s">
        <v>1587</v>
      </c>
    </row>
    <row r="421" spans="1:5" ht="29.4" thickBot="1">
      <c r="A421" s="36" t="s">
        <v>1588</v>
      </c>
      <c r="B421" s="37" t="s">
        <v>1589</v>
      </c>
      <c r="C421" s="37" t="s">
        <v>13</v>
      </c>
      <c r="D421" s="33">
        <v>34490</v>
      </c>
      <c r="E421" s="35" t="s">
        <v>1590</v>
      </c>
    </row>
    <row r="422" spans="1:5" ht="29.4" thickBot="1">
      <c r="A422" s="36" t="s">
        <v>1591</v>
      </c>
      <c r="B422" s="37" t="s">
        <v>1592</v>
      </c>
      <c r="C422" s="37" t="s">
        <v>19</v>
      </c>
      <c r="D422" s="33">
        <v>60408</v>
      </c>
      <c r="E422" s="35" t="s">
        <v>1593</v>
      </c>
    </row>
    <row r="423" spans="1:5" ht="29.4" thickBot="1">
      <c r="A423" s="36" t="s">
        <v>1594</v>
      </c>
      <c r="B423" s="37" t="s">
        <v>1595</v>
      </c>
      <c r="C423" s="37" t="s">
        <v>16</v>
      </c>
      <c r="D423" s="33">
        <v>37306</v>
      </c>
      <c r="E423" s="35" t="s">
        <v>1596</v>
      </c>
    </row>
    <row r="424" spans="1:5" ht="29.4" thickBot="1">
      <c r="A424" s="36" t="s">
        <v>1597</v>
      </c>
      <c r="B424" s="37" t="s">
        <v>1598</v>
      </c>
      <c r="C424" s="37" t="s">
        <v>13</v>
      </c>
      <c r="D424" s="33">
        <v>81432</v>
      </c>
      <c r="E424" s="35" t="s">
        <v>1599</v>
      </c>
    </row>
    <row r="425" spans="1:5" ht="29.4" thickBot="1">
      <c r="A425" s="36" t="s">
        <v>1600</v>
      </c>
      <c r="B425" s="37" t="s">
        <v>1601</v>
      </c>
      <c r="C425" s="37" t="s">
        <v>13</v>
      </c>
      <c r="D425" s="33">
        <v>97925</v>
      </c>
      <c r="E425" s="35" t="s">
        <v>1602</v>
      </c>
    </row>
    <row r="426" spans="1:5" ht="29.4" thickBot="1">
      <c r="A426" s="36" t="s">
        <v>1603</v>
      </c>
      <c r="B426" s="37" t="s">
        <v>1604</v>
      </c>
      <c r="C426" s="37" t="s">
        <v>16</v>
      </c>
      <c r="D426" s="33">
        <v>40451</v>
      </c>
      <c r="E426" s="35" t="s">
        <v>1605</v>
      </c>
    </row>
    <row r="427" spans="1:5" ht="29.4" thickBot="1">
      <c r="A427" s="36" t="s">
        <v>1606</v>
      </c>
      <c r="B427" s="37" t="s">
        <v>1607</v>
      </c>
      <c r="C427" s="37" t="s">
        <v>10</v>
      </c>
      <c r="D427" s="33">
        <v>95723</v>
      </c>
      <c r="E427" s="34">
        <v>44199</v>
      </c>
    </row>
    <row r="428" spans="1:5" ht="29.4" thickBot="1">
      <c r="A428" s="36" t="s">
        <v>1608</v>
      </c>
      <c r="B428" s="37" t="s">
        <v>1609</v>
      </c>
      <c r="C428" s="37" t="s">
        <v>19</v>
      </c>
      <c r="D428" s="33">
        <v>51585</v>
      </c>
      <c r="E428" s="34">
        <v>44230</v>
      </c>
    </row>
    <row r="429" spans="1:5" ht="29.4" thickBot="1">
      <c r="A429" s="36" t="s">
        <v>1610</v>
      </c>
      <c r="B429" s="37" t="s">
        <v>1611</v>
      </c>
      <c r="C429" s="37" t="s">
        <v>16</v>
      </c>
      <c r="D429" s="33">
        <v>97096</v>
      </c>
      <c r="E429" s="34">
        <v>44258</v>
      </c>
    </row>
    <row r="430" spans="1:5" ht="29.4" thickBot="1">
      <c r="A430" s="36" t="s">
        <v>1612</v>
      </c>
      <c r="B430" s="37" t="s">
        <v>1613</v>
      </c>
      <c r="C430" s="37" t="s">
        <v>7</v>
      </c>
      <c r="D430" s="33">
        <v>98691</v>
      </c>
      <c r="E430" s="34">
        <v>44289</v>
      </c>
    </row>
    <row r="431" spans="1:5" ht="29.4" thickBot="1">
      <c r="A431" s="36" t="s">
        <v>1614</v>
      </c>
      <c r="B431" s="37" t="s">
        <v>1615</v>
      </c>
      <c r="C431" s="37" t="s">
        <v>10</v>
      </c>
      <c r="D431" s="33">
        <v>79788</v>
      </c>
      <c r="E431" s="34">
        <v>44319</v>
      </c>
    </row>
    <row r="432" spans="1:5" ht="29.4" thickBot="1">
      <c r="A432" s="36" t="s">
        <v>1616</v>
      </c>
      <c r="B432" s="37" t="s">
        <v>1617</v>
      </c>
      <c r="C432" s="37" t="s">
        <v>7</v>
      </c>
      <c r="D432" s="33">
        <v>39981</v>
      </c>
      <c r="E432" s="34">
        <v>44350</v>
      </c>
    </row>
    <row r="433" spans="1:5" ht="29.4" thickBot="1">
      <c r="A433" s="36" t="s">
        <v>1618</v>
      </c>
      <c r="B433" s="37" t="s">
        <v>1619</v>
      </c>
      <c r="C433" s="37" t="s">
        <v>16</v>
      </c>
      <c r="D433" s="33">
        <v>54302</v>
      </c>
      <c r="E433" s="34">
        <v>44380</v>
      </c>
    </row>
    <row r="434" spans="1:5" ht="29.4" thickBot="1">
      <c r="A434" s="36" t="s">
        <v>1620</v>
      </c>
      <c r="B434" s="37" t="s">
        <v>1621</v>
      </c>
      <c r="C434" s="37" t="s">
        <v>13</v>
      </c>
      <c r="D434" s="33">
        <v>41906</v>
      </c>
      <c r="E434" s="34">
        <v>44411</v>
      </c>
    </row>
    <row r="435" spans="1:5" ht="29.4" thickBot="1">
      <c r="A435" s="36" t="s">
        <v>1622</v>
      </c>
      <c r="B435" s="37" t="s">
        <v>1623</v>
      </c>
      <c r="C435" s="37" t="s">
        <v>16</v>
      </c>
      <c r="D435" s="33">
        <v>86661</v>
      </c>
      <c r="E435" s="34">
        <v>44442</v>
      </c>
    </row>
    <row r="436" spans="1:5" ht="29.4" thickBot="1">
      <c r="A436" s="36" t="s">
        <v>1624</v>
      </c>
      <c r="B436" s="37" t="s">
        <v>1625</v>
      </c>
      <c r="C436" s="37" t="s">
        <v>13</v>
      </c>
      <c r="D436" s="33">
        <v>42867</v>
      </c>
      <c r="E436" s="34">
        <v>44472</v>
      </c>
    </row>
    <row r="437" spans="1:5" ht="29.4" thickBot="1">
      <c r="A437" s="36" t="s">
        <v>1626</v>
      </c>
      <c r="B437" s="37" t="s">
        <v>1627</v>
      </c>
      <c r="C437" s="37" t="s">
        <v>7</v>
      </c>
      <c r="D437" s="33">
        <v>92619</v>
      </c>
      <c r="E437" s="34">
        <v>44503</v>
      </c>
    </row>
    <row r="438" spans="1:5" ht="29.4" thickBot="1">
      <c r="A438" s="36" t="s">
        <v>1628</v>
      </c>
      <c r="B438" s="37" t="s">
        <v>1629</v>
      </c>
      <c r="C438" s="37" t="s">
        <v>16</v>
      </c>
      <c r="D438" s="33">
        <v>40086</v>
      </c>
      <c r="E438" s="34">
        <v>44533</v>
      </c>
    </row>
    <row r="439" spans="1:5" ht="29.4" thickBot="1">
      <c r="A439" s="36" t="s">
        <v>1630</v>
      </c>
      <c r="B439" s="37" t="s">
        <v>1631</v>
      </c>
      <c r="C439" s="37" t="s">
        <v>7</v>
      </c>
      <c r="D439" s="33">
        <v>69251</v>
      </c>
      <c r="E439" s="35" t="s">
        <v>1632</v>
      </c>
    </row>
    <row r="440" spans="1:5" ht="29.4" thickBot="1">
      <c r="A440" s="36" t="s">
        <v>1633</v>
      </c>
      <c r="B440" s="37" t="s">
        <v>1634</v>
      </c>
      <c r="C440" s="37" t="s">
        <v>7</v>
      </c>
      <c r="D440" s="33">
        <v>59750</v>
      </c>
      <c r="E440" s="35" t="s">
        <v>1635</v>
      </c>
    </row>
    <row r="441" spans="1:5" ht="29.4" thickBot="1">
      <c r="A441" s="36" t="s">
        <v>1636</v>
      </c>
      <c r="B441" s="37" t="s">
        <v>1637</v>
      </c>
      <c r="C441" s="37" t="s">
        <v>19</v>
      </c>
      <c r="D441" s="33">
        <v>68573</v>
      </c>
      <c r="E441" s="35" t="s">
        <v>1638</v>
      </c>
    </row>
    <row r="442" spans="1:5" ht="29.4" thickBot="1">
      <c r="A442" s="36" t="s">
        <v>1639</v>
      </c>
      <c r="B442" s="37" t="s">
        <v>1640</v>
      </c>
      <c r="C442" s="37" t="s">
        <v>19</v>
      </c>
      <c r="D442" s="33">
        <v>59151</v>
      </c>
      <c r="E442" s="35" t="s">
        <v>1641</v>
      </c>
    </row>
    <row r="443" spans="1:5" ht="29.4" thickBot="1">
      <c r="A443" s="36" t="s">
        <v>1642</v>
      </c>
      <c r="B443" s="37" t="s">
        <v>1643</v>
      </c>
      <c r="C443" s="37" t="s">
        <v>10</v>
      </c>
      <c r="D443" s="33">
        <v>37982</v>
      </c>
      <c r="E443" s="35" t="s">
        <v>1644</v>
      </c>
    </row>
    <row r="444" spans="1:5" ht="29.4" thickBot="1">
      <c r="A444" s="36" t="s">
        <v>1645</v>
      </c>
      <c r="B444" s="37" t="s">
        <v>1646</v>
      </c>
      <c r="C444" s="37" t="s">
        <v>13</v>
      </c>
      <c r="D444" s="33">
        <v>80834</v>
      </c>
      <c r="E444" s="35" t="s">
        <v>1647</v>
      </c>
    </row>
    <row r="445" spans="1:5" ht="29.4" thickBot="1">
      <c r="A445" s="36" t="s">
        <v>1648</v>
      </c>
      <c r="B445" s="37" t="s">
        <v>1649</v>
      </c>
      <c r="C445" s="37" t="s">
        <v>10</v>
      </c>
      <c r="D445" s="33">
        <v>87672</v>
      </c>
      <c r="E445" s="35" t="s">
        <v>1650</v>
      </c>
    </row>
    <row r="446" spans="1:5" ht="29.4" thickBot="1">
      <c r="A446" s="36" t="s">
        <v>1651</v>
      </c>
      <c r="B446" s="37" t="s">
        <v>1652</v>
      </c>
      <c r="C446" s="37" t="s">
        <v>13</v>
      </c>
      <c r="D446" s="33">
        <v>35779</v>
      </c>
      <c r="E446" s="35" t="s">
        <v>1653</v>
      </c>
    </row>
    <row r="447" spans="1:5" ht="29.4" thickBot="1">
      <c r="A447" s="36" t="s">
        <v>1654</v>
      </c>
      <c r="B447" s="37" t="s">
        <v>1655</v>
      </c>
      <c r="C447" s="37" t="s">
        <v>10</v>
      </c>
      <c r="D447" s="33">
        <v>79972</v>
      </c>
      <c r="E447" s="35" t="s">
        <v>1656</v>
      </c>
    </row>
    <row r="448" spans="1:5" ht="29.4" thickBot="1">
      <c r="A448" s="36" t="s">
        <v>1657</v>
      </c>
      <c r="B448" s="37" t="s">
        <v>1658</v>
      </c>
      <c r="C448" s="37" t="s">
        <v>19</v>
      </c>
      <c r="D448" s="33">
        <v>86578</v>
      </c>
      <c r="E448" s="35" t="s">
        <v>1659</v>
      </c>
    </row>
    <row r="449" spans="1:5" ht="29.4" thickBot="1">
      <c r="A449" s="36" t="s">
        <v>1660</v>
      </c>
      <c r="B449" s="37" t="s">
        <v>1661</v>
      </c>
      <c r="C449" s="37" t="s">
        <v>13</v>
      </c>
      <c r="D449" s="33">
        <v>48744</v>
      </c>
      <c r="E449" s="35" t="s">
        <v>1662</v>
      </c>
    </row>
    <row r="450" spans="1:5" ht="29.4" thickBot="1">
      <c r="A450" s="36" t="s">
        <v>1663</v>
      </c>
      <c r="B450" s="37" t="s">
        <v>1664</v>
      </c>
      <c r="C450" s="37" t="s">
        <v>16</v>
      </c>
      <c r="D450" s="33">
        <v>78409</v>
      </c>
      <c r="E450" s="35" t="s">
        <v>1665</v>
      </c>
    </row>
    <row r="451" spans="1:5" ht="29.4" thickBot="1">
      <c r="A451" s="36" t="s">
        <v>1666</v>
      </c>
      <c r="B451" s="37" t="s">
        <v>1667</v>
      </c>
      <c r="C451" s="37" t="s">
        <v>7</v>
      </c>
      <c r="D451" s="33">
        <v>47211</v>
      </c>
      <c r="E451" s="35" t="s">
        <v>1668</v>
      </c>
    </row>
    <row r="452" spans="1:5" ht="29.4" thickBot="1">
      <c r="A452" s="36" t="s">
        <v>1669</v>
      </c>
      <c r="B452" s="37" t="s">
        <v>1670</v>
      </c>
      <c r="C452" s="37" t="s">
        <v>7</v>
      </c>
      <c r="D452" s="33">
        <v>85497</v>
      </c>
      <c r="E452" s="35" t="s">
        <v>1671</v>
      </c>
    </row>
    <row r="453" spans="1:5" ht="29.4" thickBot="1">
      <c r="A453" s="36" t="s">
        <v>1672</v>
      </c>
      <c r="B453" s="37" t="s">
        <v>1673</v>
      </c>
      <c r="C453" s="37" t="s">
        <v>16</v>
      </c>
      <c r="D453" s="33">
        <v>44735</v>
      </c>
      <c r="E453" s="35" t="s">
        <v>1674</v>
      </c>
    </row>
    <row r="454" spans="1:5" ht="29.4" thickBot="1">
      <c r="A454" s="36" t="s">
        <v>1675</v>
      </c>
      <c r="B454" s="37" t="s">
        <v>1676</v>
      </c>
      <c r="C454" s="37" t="s">
        <v>13</v>
      </c>
      <c r="D454" s="33">
        <v>50886</v>
      </c>
      <c r="E454" s="35" t="s">
        <v>1677</v>
      </c>
    </row>
    <row r="455" spans="1:5" ht="29.4" thickBot="1">
      <c r="A455" s="36" t="s">
        <v>1678</v>
      </c>
      <c r="B455" s="37" t="s">
        <v>1679</v>
      </c>
      <c r="C455" s="37" t="s">
        <v>16</v>
      </c>
      <c r="D455" s="33">
        <v>92147</v>
      </c>
      <c r="E455" s="35" t="s">
        <v>1680</v>
      </c>
    </row>
    <row r="456" spans="1:5" ht="29.4" thickBot="1">
      <c r="A456" s="36" t="s">
        <v>1681</v>
      </c>
      <c r="B456" s="37" t="s">
        <v>1682</v>
      </c>
      <c r="C456" s="37" t="s">
        <v>10</v>
      </c>
      <c r="D456" s="33">
        <v>48965</v>
      </c>
      <c r="E456" s="35" t="s">
        <v>1683</v>
      </c>
    </row>
    <row r="457" spans="1:5" ht="29.4" thickBot="1">
      <c r="A457" s="36" t="s">
        <v>1684</v>
      </c>
      <c r="B457" s="37" t="s">
        <v>1685</v>
      </c>
      <c r="C457" s="37" t="s">
        <v>7</v>
      </c>
      <c r="D457" s="33">
        <v>57751</v>
      </c>
      <c r="E457" s="35" t="s">
        <v>1686</v>
      </c>
    </row>
    <row r="458" spans="1:5" ht="29.4" thickBot="1">
      <c r="A458" s="36" t="s">
        <v>1687</v>
      </c>
      <c r="B458" s="37" t="s">
        <v>1688</v>
      </c>
      <c r="C458" s="37" t="s">
        <v>7</v>
      </c>
      <c r="D458" s="33">
        <v>36489</v>
      </c>
      <c r="E458" s="34">
        <v>44200</v>
      </c>
    </row>
    <row r="459" spans="1:5" ht="29.4" thickBot="1">
      <c r="A459" s="36" t="s">
        <v>1689</v>
      </c>
      <c r="B459" s="37" t="s">
        <v>1690</v>
      </c>
      <c r="C459" s="37" t="s">
        <v>7</v>
      </c>
      <c r="D459" s="33">
        <v>56436</v>
      </c>
      <c r="E459" s="34">
        <v>44231</v>
      </c>
    </row>
    <row r="460" spans="1:5" ht="29.4" thickBot="1">
      <c r="A460" s="36" t="s">
        <v>1691</v>
      </c>
      <c r="B460" s="37" t="s">
        <v>1692</v>
      </c>
      <c r="C460" s="37" t="s">
        <v>13</v>
      </c>
      <c r="D460" s="33">
        <v>45575</v>
      </c>
      <c r="E460" s="34">
        <v>44259</v>
      </c>
    </row>
    <row r="461" spans="1:5" ht="29.4" thickBot="1">
      <c r="A461" s="36" t="s">
        <v>1693</v>
      </c>
      <c r="B461" s="37" t="s">
        <v>1694</v>
      </c>
      <c r="C461" s="37" t="s">
        <v>16</v>
      </c>
      <c r="D461" s="33">
        <v>80798</v>
      </c>
      <c r="E461" s="34">
        <v>44290</v>
      </c>
    </row>
    <row r="462" spans="1:5" ht="29.4" thickBot="1">
      <c r="A462" s="36" t="s">
        <v>1695</v>
      </c>
      <c r="B462" s="37" t="s">
        <v>1696</v>
      </c>
      <c r="C462" s="37" t="s">
        <v>13</v>
      </c>
      <c r="D462" s="33">
        <v>31399</v>
      </c>
      <c r="E462" s="34">
        <v>44320</v>
      </c>
    </row>
    <row r="463" spans="1:5" ht="29.4" thickBot="1">
      <c r="A463" s="36" t="s">
        <v>1697</v>
      </c>
      <c r="B463" s="37" t="s">
        <v>1698</v>
      </c>
      <c r="C463" s="37" t="s">
        <v>13</v>
      </c>
      <c r="D463" s="33">
        <v>70773</v>
      </c>
      <c r="E463" s="34">
        <v>44351</v>
      </c>
    </row>
    <row r="464" spans="1:5" ht="29.4" thickBot="1">
      <c r="A464" s="36" t="s">
        <v>1699</v>
      </c>
      <c r="B464" s="37" t="s">
        <v>1700</v>
      </c>
      <c r="C464" s="37" t="s">
        <v>10</v>
      </c>
      <c r="D464" s="33">
        <v>88183</v>
      </c>
      <c r="E464" s="34">
        <v>44381</v>
      </c>
    </row>
    <row r="465" spans="1:5" ht="29.4" thickBot="1">
      <c r="A465" s="36" t="s">
        <v>1701</v>
      </c>
      <c r="B465" s="37" t="s">
        <v>1702</v>
      </c>
      <c r="C465" s="37" t="s">
        <v>13</v>
      </c>
      <c r="D465" s="33">
        <v>64999</v>
      </c>
      <c r="E465" s="34">
        <v>44412</v>
      </c>
    </row>
    <row r="466" spans="1:5" ht="29.4" thickBot="1">
      <c r="A466" s="36" t="s">
        <v>1703</v>
      </c>
      <c r="B466" s="37" t="s">
        <v>1704</v>
      </c>
      <c r="C466" s="37" t="s">
        <v>16</v>
      </c>
      <c r="D466" s="33">
        <v>45053</v>
      </c>
      <c r="E466" s="34">
        <v>44443</v>
      </c>
    </row>
    <row r="467" spans="1:5" ht="29.4" thickBot="1">
      <c r="A467" s="36" t="s">
        <v>1705</v>
      </c>
      <c r="B467" s="37" t="s">
        <v>1706</v>
      </c>
      <c r="C467" s="37" t="s">
        <v>7</v>
      </c>
      <c r="D467" s="33">
        <v>35467</v>
      </c>
      <c r="E467" s="34">
        <v>44473</v>
      </c>
    </row>
    <row r="468" spans="1:5" ht="29.4" thickBot="1">
      <c r="A468" s="36" t="s">
        <v>1707</v>
      </c>
      <c r="B468" s="37" t="s">
        <v>1708</v>
      </c>
      <c r="C468" s="37" t="s">
        <v>19</v>
      </c>
      <c r="D468" s="33">
        <v>95512</v>
      </c>
      <c r="E468" s="34">
        <v>44504</v>
      </c>
    </row>
    <row r="469" spans="1:5" ht="29.4" thickBot="1">
      <c r="A469" s="36" t="s">
        <v>1709</v>
      </c>
      <c r="B469" s="37" t="s">
        <v>1710</v>
      </c>
      <c r="C469" s="37" t="s">
        <v>7</v>
      </c>
      <c r="D469" s="33">
        <v>46595</v>
      </c>
      <c r="E469" s="34">
        <v>44534</v>
      </c>
    </row>
    <row r="470" spans="1:5" ht="29.4" thickBot="1">
      <c r="A470" s="36" t="s">
        <v>1711</v>
      </c>
      <c r="B470" s="37" t="s">
        <v>1712</v>
      </c>
      <c r="C470" s="37" t="s">
        <v>13</v>
      </c>
      <c r="D470" s="33">
        <v>35544</v>
      </c>
      <c r="E470" s="35" t="s">
        <v>1713</v>
      </c>
    </row>
    <row r="471" spans="1:5" ht="29.4" thickBot="1">
      <c r="A471" s="36" t="s">
        <v>1714</v>
      </c>
      <c r="B471" s="37" t="s">
        <v>1715</v>
      </c>
      <c r="C471" s="37" t="s">
        <v>16</v>
      </c>
      <c r="D471" s="33">
        <v>72510</v>
      </c>
      <c r="E471" s="35" t="s">
        <v>1716</v>
      </c>
    </row>
    <row r="472" spans="1:5" ht="29.4" thickBot="1">
      <c r="A472" s="36" t="s">
        <v>1717</v>
      </c>
      <c r="B472" s="37" t="s">
        <v>1718</v>
      </c>
      <c r="C472" s="37" t="s">
        <v>7</v>
      </c>
      <c r="D472" s="33">
        <v>64091</v>
      </c>
      <c r="E472" s="35" t="s">
        <v>1719</v>
      </c>
    </row>
    <row r="473" spans="1:5" ht="29.4" thickBot="1">
      <c r="A473" s="36" t="s">
        <v>1720</v>
      </c>
      <c r="B473" s="37" t="s">
        <v>1721</v>
      </c>
      <c r="C473" s="37" t="s">
        <v>10</v>
      </c>
      <c r="D473" s="33">
        <v>85324</v>
      </c>
      <c r="E473" s="35" t="s">
        <v>1722</v>
      </c>
    </row>
    <row r="474" spans="1:5" ht="29.4" thickBot="1">
      <c r="A474" s="36" t="s">
        <v>1723</v>
      </c>
      <c r="B474" s="37" t="s">
        <v>1724</v>
      </c>
      <c r="C474" s="37" t="s">
        <v>13</v>
      </c>
      <c r="D474" s="33">
        <v>43518</v>
      </c>
      <c r="E474" s="35" t="s">
        <v>1725</v>
      </c>
    </row>
    <row r="475" spans="1:5" ht="29.4" thickBot="1">
      <c r="A475" s="36" t="s">
        <v>1726</v>
      </c>
      <c r="B475" s="37" t="s">
        <v>1727</v>
      </c>
      <c r="C475" s="37" t="s">
        <v>10</v>
      </c>
      <c r="D475" s="33">
        <v>67003</v>
      </c>
      <c r="E475" s="35" t="s">
        <v>1728</v>
      </c>
    </row>
    <row r="476" spans="1:5" ht="29.4" thickBot="1">
      <c r="A476" s="36" t="s">
        <v>1729</v>
      </c>
      <c r="B476" s="37" t="s">
        <v>1730</v>
      </c>
      <c r="C476" s="37" t="s">
        <v>13</v>
      </c>
      <c r="D476" s="33">
        <v>67870</v>
      </c>
      <c r="E476" s="35" t="s">
        <v>1731</v>
      </c>
    </row>
    <row r="477" spans="1:5" ht="29.4" thickBot="1">
      <c r="A477" s="36" t="s">
        <v>1732</v>
      </c>
      <c r="B477" s="37" t="s">
        <v>1733</v>
      </c>
      <c r="C477" s="37" t="s">
        <v>7</v>
      </c>
      <c r="D477" s="33">
        <v>95338</v>
      </c>
      <c r="E477" s="35" t="s">
        <v>1734</v>
      </c>
    </row>
    <row r="478" spans="1:5" ht="29.4" thickBot="1">
      <c r="A478" s="36" t="s">
        <v>1735</v>
      </c>
      <c r="B478" s="37" t="s">
        <v>1736</v>
      </c>
      <c r="C478" s="37" t="s">
        <v>10</v>
      </c>
      <c r="D478" s="33">
        <v>69281</v>
      </c>
      <c r="E478" s="35" t="s">
        <v>1737</v>
      </c>
    </row>
    <row r="479" spans="1:5" ht="29.4" thickBot="1">
      <c r="A479" s="36" t="s">
        <v>1738</v>
      </c>
      <c r="B479" s="37" t="s">
        <v>1739</v>
      </c>
      <c r="C479" s="37" t="s">
        <v>13</v>
      </c>
      <c r="D479" s="33">
        <v>62086</v>
      </c>
      <c r="E479" s="35" t="s">
        <v>1740</v>
      </c>
    </row>
    <row r="480" spans="1:5" ht="29.4" thickBot="1">
      <c r="A480" s="36" t="s">
        <v>1741</v>
      </c>
      <c r="B480" s="37" t="s">
        <v>1742</v>
      </c>
      <c r="C480" s="37" t="s">
        <v>7</v>
      </c>
      <c r="D480" s="33">
        <v>62071</v>
      </c>
      <c r="E480" s="35" t="s">
        <v>1743</v>
      </c>
    </row>
    <row r="481" spans="1:5" ht="29.4" thickBot="1">
      <c r="A481" s="36" t="s">
        <v>1744</v>
      </c>
      <c r="B481" s="37" t="s">
        <v>1745</v>
      </c>
      <c r="C481" s="37" t="s">
        <v>16</v>
      </c>
      <c r="D481" s="33">
        <v>76104</v>
      </c>
      <c r="E481" s="35" t="s">
        <v>1746</v>
      </c>
    </row>
    <row r="482" spans="1:5" ht="29.4" thickBot="1">
      <c r="A482" s="36" t="s">
        <v>1747</v>
      </c>
      <c r="B482" s="37" t="s">
        <v>1748</v>
      </c>
      <c r="C482" s="37" t="s">
        <v>7</v>
      </c>
      <c r="D482" s="33">
        <v>89119</v>
      </c>
      <c r="E482" s="35" t="s">
        <v>1749</v>
      </c>
    </row>
    <row r="483" spans="1:5" ht="29.4" thickBot="1">
      <c r="A483" s="36" t="s">
        <v>1750</v>
      </c>
      <c r="B483" s="37" t="s">
        <v>1751</v>
      </c>
      <c r="C483" s="37" t="s">
        <v>13</v>
      </c>
      <c r="D483" s="33">
        <v>66700</v>
      </c>
      <c r="E483" s="35" t="s">
        <v>1752</v>
      </c>
    </row>
    <row r="484" spans="1:5" ht="29.4" thickBot="1">
      <c r="A484" s="36" t="s">
        <v>1753</v>
      </c>
      <c r="B484" s="37" t="s">
        <v>1754</v>
      </c>
      <c r="C484" s="37" t="s">
        <v>19</v>
      </c>
      <c r="D484" s="33">
        <v>52412</v>
      </c>
      <c r="E484" s="35" t="s">
        <v>1755</v>
      </c>
    </row>
    <row r="485" spans="1:5" ht="29.4" thickBot="1">
      <c r="A485" s="36" t="s">
        <v>1756</v>
      </c>
      <c r="B485" s="37" t="s">
        <v>1757</v>
      </c>
      <c r="C485" s="37" t="s">
        <v>16</v>
      </c>
      <c r="D485" s="33">
        <v>39107</v>
      </c>
      <c r="E485" s="35" t="s">
        <v>1758</v>
      </c>
    </row>
    <row r="486" spans="1:5" ht="29.4" thickBot="1">
      <c r="A486" s="36" t="s">
        <v>1759</v>
      </c>
      <c r="B486" s="37" t="s">
        <v>1760</v>
      </c>
      <c r="C486" s="37" t="s">
        <v>13</v>
      </c>
      <c r="D486" s="33">
        <v>74753</v>
      </c>
      <c r="E486" s="35" t="s">
        <v>1761</v>
      </c>
    </row>
    <row r="487" spans="1:5" ht="29.4" thickBot="1">
      <c r="A487" s="36" t="s">
        <v>1762</v>
      </c>
      <c r="B487" s="37" t="s">
        <v>1763</v>
      </c>
      <c r="C487" s="37" t="s">
        <v>10</v>
      </c>
      <c r="D487" s="33">
        <v>34451</v>
      </c>
      <c r="E487" s="35" t="s">
        <v>1764</v>
      </c>
    </row>
    <row r="488" spans="1:5" ht="29.4" thickBot="1">
      <c r="A488" s="36" t="s">
        <v>1765</v>
      </c>
      <c r="B488" s="37" t="s">
        <v>1766</v>
      </c>
      <c r="C488" s="37" t="s">
        <v>10</v>
      </c>
      <c r="D488" s="33">
        <v>85559</v>
      </c>
      <c r="E488" s="34">
        <v>44201</v>
      </c>
    </row>
    <row r="489" spans="1:5" ht="29.4" thickBot="1">
      <c r="A489" s="36" t="s">
        <v>1767</v>
      </c>
      <c r="B489" s="37" t="s">
        <v>1768</v>
      </c>
      <c r="C489" s="37" t="s">
        <v>7</v>
      </c>
      <c r="D489" s="33">
        <v>91259</v>
      </c>
      <c r="E489" s="34">
        <v>44232</v>
      </c>
    </row>
    <row r="490" spans="1:5" ht="29.4" thickBot="1">
      <c r="A490" s="36" t="s">
        <v>1769</v>
      </c>
      <c r="B490" s="37" t="s">
        <v>1770</v>
      </c>
      <c r="C490" s="37" t="s">
        <v>10</v>
      </c>
      <c r="D490" s="33">
        <v>49004</v>
      </c>
      <c r="E490" s="34">
        <v>44260</v>
      </c>
    </row>
    <row r="491" spans="1:5" ht="29.4" thickBot="1">
      <c r="A491" s="36" t="s">
        <v>1771</v>
      </c>
      <c r="B491" s="37" t="s">
        <v>1772</v>
      </c>
      <c r="C491" s="37" t="s">
        <v>16</v>
      </c>
      <c r="D491" s="33">
        <v>62548</v>
      </c>
      <c r="E491" s="34">
        <v>44291</v>
      </c>
    </row>
    <row r="492" spans="1:5" ht="29.4" thickBot="1">
      <c r="A492" s="36" t="s">
        <v>1773</v>
      </c>
      <c r="B492" s="37" t="s">
        <v>1774</v>
      </c>
      <c r="C492" s="37" t="s">
        <v>10</v>
      </c>
      <c r="D492" s="33">
        <v>33517</v>
      </c>
      <c r="E492" s="34">
        <v>44321</v>
      </c>
    </row>
    <row r="493" spans="1:5" ht="29.4" thickBot="1">
      <c r="A493" s="36" t="s">
        <v>1775</v>
      </c>
      <c r="B493" s="37" t="s">
        <v>1776</v>
      </c>
      <c r="C493" s="37" t="s">
        <v>7</v>
      </c>
      <c r="D493" s="33">
        <v>40156</v>
      </c>
      <c r="E493" s="34">
        <v>44352</v>
      </c>
    </row>
    <row r="494" spans="1:5" ht="29.4" thickBot="1">
      <c r="A494" s="36" t="s">
        <v>1777</v>
      </c>
      <c r="B494" s="37" t="s">
        <v>1778</v>
      </c>
      <c r="C494" s="37" t="s">
        <v>10</v>
      </c>
      <c r="D494" s="33">
        <v>74450</v>
      </c>
      <c r="E494" s="34">
        <v>44382</v>
      </c>
    </row>
    <row r="495" spans="1:5" ht="29.4" thickBot="1">
      <c r="A495" s="36" t="s">
        <v>1779</v>
      </c>
      <c r="B495" s="37" t="s">
        <v>1780</v>
      </c>
      <c r="C495" s="37" t="s">
        <v>19</v>
      </c>
      <c r="D495" s="33">
        <v>80523</v>
      </c>
      <c r="E495" s="34">
        <v>44413</v>
      </c>
    </row>
    <row r="496" spans="1:5" ht="29.4" thickBot="1">
      <c r="A496" s="36" t="s">
        <v>1781</v>
      </c>
      <c r="B496" s="37" t="s">
        <v>1782</v>
      </c>
      <c r="C496" s="37" t="s">
        <v>16</v>
      </c>
      <c r="D496" s="33">
        <v>60266</v>
      </c>
      <c r="E496" s="34">
        <v>44444</v>
      </c>
    </row>
    <row r="497" spans="1:5" ht="29.4" thickBot="1">
      <c r="A497" s="36" t="s">
        <v>1783</v>
      </c>
      <c r="B497" s="37" t="s">
        <v>1784</v>
      </c>
      <c r="C497" s="37" t="s">
        <v>13</v>
      </c>
      <c r="D497" s="33">
        <v>43477</v>
      </c>
      <c r="E497" s="34">
        <v>44474</v>
      </c>
    </row>
    <row r="498" spans="1:5" ht="29.4" thickBot="1">
      <c r="A498" s="36" t="s">
        <v>1785</v>
      </c>
      <c r="B498" s="37" t="s">
        <v>1786</v>
      </c>
      <c r="C498" s="37" t="s">
        <v>10</v>
      </c>
      <c r="D498" s="33">
        <v>92915</v>
      </c>
      <c r="E498" s="34">
        <v>44505</v>
      </c>
    </row>
    <row r="499" spans="1:5" ht="29.4" thickBot="1">
      <c r="A499" s="36" t="s">
        <v>1787</v>
      </c>
      <c r="B499" s="37" t="s">
        <v>1788</v>
      </c>
      <c r="C499" s="37" t="s">
        <v>16</v>
      </c>
      <c r="D499" s="33">
        <v>76666</v>
      </c>
      <c r="E499" s="34">
        <v>44535</v>
      </c>
    </row>
    <row r="500" spans="1:5" ht="29.4" thickBot="1">
      <c r="A500" s="36" t="s">
        <v>1789</v>
      </c>
      <c r="B500" s="37" t="s">
        <v>1790</v>
      </c>
      <c r="C500" s="37" t="s">
        <v>7</v>
      </c>
      <c r="D500" s="33">
        <v>67908</v>
      </c>
      <c r="E500" s="35" t="s">
        <v>1791</v>
      </c>
    </row>
    <row r="501" spans="1:5" ht="29.4" thickBot="1">
      <c r="A501" s="36" t="s">
        <v>1792</v>
      </c>
      <c r="B501" s="37" t="s">
        <v>1793</v>
      </c>
      <c r="C501" s="37" t="s">
        <v>13</v>
      </c>
      <c r="D501" s="33">
        <v>47209</v>
      </c>
      <c r="E501" s="35" t="s">
        <v>1794</v>
      </c>
    </row>
  </sheetData>
  <conditionalFormatting sqref="A2:E501">
    <cfRule type="expression" dxfId="4" priority="2">
      <formula>$D$507</formula>
    </cfRule>
    <cfRule type="dataBar" priority="3">
      <dataBar>
        <cfvo type="min"/>
        <cfvo type="max"/>
        <color rgb="FF638EC6"/>
      </dataBar>
      <extLst>
        <ext xmlns:x14="http://schemas.microsoft.com/office/spreadsheetml/2009/9/main" uri="{B025F937-C7B1-47D3-B67F-A62EFF666E3E}">
          <x14:id>{A85752BD-0DEA-49E2-8CC6-251D1CAF341D}</x14:id>
        </ext>
      </extLst>
    </cfRule>
    <cfRule type="top10" dxfId="3" priority="4" rank="10"/>
    <cfRule type="containsText" dxfId="2" priority="5" operator="containsText" text="HR">
      <formula>NOT(ISERROR(SEARCH("HR",A2)))</formula>
    </cfRule>
    <cfRule type="cellIs" dxfId="1" priority="6" operator="greaterThan">
      <formula>80000</formula>
    </cfRule>
  </conditionalFormatting>
  <conditionalFormatting sqref="D2:D501">
    <cfRule type="cellIs" dxfId="0" priority="1" operator="greaterThan">
      <formula>70000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A85752BD-0DEA-49E2-8CC6-251D1CAF341D}">
            <x14:dataBar minLength="0" maxLength="100" border="1" negativeBarBorderColorSameAsPositive="0">
              <x14:cfvo type="autoMin"/>
              <x14:cfvo type="autoMax"/>
              <x14:borderColor rgb="FF638EC6"/>
              <x14:negativeFillColor rgb="FFFF0000"/>
              <x14:negativeBorderColor rgb="FFFF0000"/>
              <x14:axisColor rgb="FF000000"/>
            </x14:dataBar>
          </x14:cfRule>
          <xm:sqref>A2:E501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70F4B-A2E9-441C-980C-45E4F0034BB6}">
  <sheetPr codeName="Sheet17"/>
  <dimension ref="A1:O20"/>
  <sheetViews>
    <sheetView workbookViewId="0">
      <selection activeCell="A20" sqref="A20"/>
    </sheetView>
  </sheetViews>
  <sheetFormatPr defaultRowHeight="14.4"/>
  <cols>
    <col min="1" max="1" width="12" customWidth="1"/>
    <col min="2" max="2" width="13.5546875" customWidth="1"/>
    <col min="3" max="3" width="13.44140625" customWidth="1"/>
    <col min="4" max="4" width="11.44140625" customWidth="1"/>
    <col min="5" max="5" width="13.44140625" customWidth="1"/>
  </cols>
  <sheetData>
    <row r="1" spans="1:15">
      <c r="A1" t="s">
        <v>0</v>
      </c>
      <c r="B1" t="s">
        <v>1</v>
      </c>
      <c r="C1" t="s">
        <v>601</v>
      </c>
      <c r="D1" t="s">
        <v>3</v>
      </c>
      <c r="E1" t="s">
        <v>4</v>
      </c>
      <c r="F1" t="s">
        <v>1826</v>
      </c>
    </row>
    <row r="2" spans="1:15">
      <c r="A2" t="s">
        <v>5</v>
      </c>
      <c r="B2" t="s">
        <v>6</v>
      </c>
      <c r="C2" t="s">
        <v>7</v>
      </c>
      <c r="D2">
        <v>41954</v>
      </c>
      <c r="E2" s="28">
        <v>43831</v>
      </c>
      <c r="F2" t="str">
        <f t="shared" ref="F2:F13" si="0">VLOOKUP(D2,emp_type,2,1)</f>
        <v>Grade5</v>
      </c>
    </row>
    <row r="3" spans="1:15">
      <c r="A3" t="s">
        <v>8</v>
      </c>
      <c r="B3" t="s">
        <v>9</v>
      </c>
      <c r="C3" t="s">
        <v>13</v>
      </c>
      <c r="D3">
        <v>49855</v>
      </c>
      <c r="E3" s="28">
        <v>43832</v>
      </c>
      <c r="F3" t="str">
        <f t="shared" si="0"/>
        <v>Grade4</v>
      </c>
      <c r="N3" t="s">
        <v>3</v>
      </c>
      <c r="O3" t="s">
        <v>1819</v>
      </c>
    </row>
    <row r="4" spans="1:15">
      <c r="A4" t="s">
        <v>11</v>
      </c>
      <c r="B4" t="s">
        <v>12</v>
      </c>
      <c r="C4" t="s">
        <v>10</v>
      </c>
      <c r="D4">
        <v>94210</v>
      </c>
      <c r="E4" s="28">
        <v>43833</v>
      </c>
      <c r="F4" t="str">
        <f t="shared" si="0"/>
        <v>Grade1</v>
      </c>
      <c r="N4">
        <v>15000</v>
      </c>
      <c r="O4" t="s">
        <v>1825</v>
      </c>
    </row>
    <row r="5" spans="1:15">
      <c r="A5" t="s">
        <v>14</v>
      </c>
      <c r="B5" t="s">
        <v>15</v>
      </c>
      <c r="C5" t="s">
        <v>7</v>
      </c>
      <c r="D5">
        <v>90000</v>
      </c>
      <c r="E5" s="28">
        <v>43834</v>
      </c>
      <c r="F5" t="str">
        <f t="shared" si="0"/>
        <v>Grade1</v>
      </c>
      <c r="N5">
        <v>30000</v>
      </c>
      <c r="O5" t="s">
        <v>1824</v>
      </c>
    </row>
    <row r="6" spans="1:15">
      <c r="A6" t="s">
        <v>17</v>
      </c>
      <c r="B6" t="s">
        <v>18</v>
      </c>
      <c r="C6" t="s">
        <v>13</v>
      </c>
      <c r="D6">
        <v>90652</v>
      </c>
      <c r="E6" s="28">
        <v>43835</v>
      </c>
      <c r="F6" t="str">
        <f t="shared" si="0"/>
        <v>Grade1</v>
      </c>
      <c r="N6">
        <v>45000</v>
      </c>
      <c r="O6" t="s">
        <v>1823</v>
      </c>
    </row>
    <row r="7" spans="1:15">
      <c r="A7" t="s">
        <v>20</v>
      </c>
      <c r="B7" t="s">
        <v>12</v>
      </c>
      <c r="C7" t="s">
        <v>13</v>
      </c>
      <c r="D7">
        <v>74820</v>
      </c>
      <c r="E7" s="28">
        <v>43836</v>
      </c>
      <c r="F7" t="str">
        <f t="shared" si="0"/>
        <v>Grade3</v>
      </c>
      <c r="N7">
        <v>60000</v>
      </c>
      <c r="O7" t="s">
        <v>1822</v>
      </c>
    </row>
    <row r="8" spans="1:15">
      <c r="A8" t="s">
        <v>22</v>
      </c>
      <c r="B8" t="s">
        <v>23</v>
      </c>
      <c r="C8" t="s">
        <v>10</v>
      </c>
      <c r="D8">
        <v>85206</v>
      </c>
      <c r="E8" s="28">
        <v>43837</v>
      </c>
      <c r="F8" t="str">
        <f t="shared" si="0"/>
        <v>Grade2</v>
      </c>
      <c r="N8">
        <v>75000</v>
      </c>
      <c r="O8" t="s">
        <v>1821</v>
      </c>
    </row>
    <row r="9" spans="1:15">
      <c r="A9" t="s">
        <v>24</v>
      </c>
      <c r="B9" t="s">
        <v>25</v>
      </c>
      <c r="C9" t="s">
        <v>7</v>
      </c>
      <c r="D9">
        <v>30924</v>
      </c>
      <c r="E9" s="28">
        <v>43838</v>
      </c>
      <c r="F9" t="str">
        <f t="shared" si="0"/>
        <v>Grade5</v>
      </c>
      <c r="N9">
        <v>90000</v>
      </c>
      <c r="O9" t="s">
        <v>1820</v>
      </c>
    </row>
    <row r="10" spans="1:15">
      <c r="A10" t="s">
        <v>26</v>
      </c>
      <c r="B10" t="s">
        <v>27</v>
      </c>
      <c r="C10" t="s">
        <v>13</v>
      </c>
      <c r="D10">
        <v>57737</v>
      </c>
      <c r="E10" s="28">
        <v>43839</v>
      </c>
      <c r="F10" t="str">
        <f t="shared" si="0"/>
        <v>Grade4</v>
      </c>
    </row>
    <row r="11" spans="1:15">
      <c r="A11" t="s">
        <v>28</v>
      </c>
      <c r="B11" t="s">
        <v>156</v>
      </c>
      <c r="C11" t="s">
        <v>10</v>
      </c>
      <c r="D11">
        <v>36000</v>
      </c>
      <c r="E11" s="28">
        <v>43840</v>
      </c>
      <c r="F11" t="str">
        <f t="shared" si="0"/>
        <v>Grade5</v>
      </c>
      <c r="N11" s="24" t="s">
        <v>357</v>
      </c>
    </row>
    <row r="12" spans="1:15">
      <c r="A12" t="s">
        <v>29</v>
      </c>
      <c r="B12" t="s">
        <v>30</v>
      </c>
      <c r="C12" t="s">
        <v>10</v>
      </c>
      <c r="D12">
        <v>96371</v>
      </c>
      <c r="E12" s="28">
        <v>43841</v>
      </c>
      <c r="F12" t="str">
        <f t="shared" si="0"/>
        <v>Grade1</v>
      </c>
    </row>
    <row r="13" spans="1:15">
      <c r="A13" t="s">
        <v>31</v>
      </c>
      <c r="B13" t="s">
        <v>32</v>
      </c>
      <c r="C13" t="s">
        <v>13</v>
      </c>
      <c r="D13">
        <v>85028</v>
      </c>
      <c r="E13" s="28">
        <v>43842</v>
      </c>
      <c r="F13" t="str">
        <f t="shared" si="0"/>
        <v>Grade2</v>
      </c>
    </row>
    <row r="14" spans="1:15">
      <c r="C14" s="24" t="s">
        <v>356</v>
      </c>
    </row>
    <row r="15" spans="1:15" ht="25.8">
      <c r="C15" s="20" t="s">
        <v>538</v>
      </c>
    </row>
    <row r="17" spans="1:1">
      <c r="A17" t="s">
        <v>1827</v>
      </c>
    </row>
    <row r="18" spans="1:1">
      <c r="A18" t="s">
        <v>1828</v>
      </c>
    </row>
    <row r="19" spans="1:1">
      <c r="A19" t="s">
        <v>1829</v>
      </c>
    </row>
    <row r="20" spans="1:1">
      <c r="A20" t="s">
        <v>1830</v>
      </c>
    </row>
  </sheetData>
  <sortState xmlns:xlrd2="http://schemas.microsoft.com/office/spreadsheetml/2017/richdata2" ref="N4:O9">
    <sortCondition ref="N4:N9"/>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FE305-3D93-4E77-8C47-0DB80FE01069}">
  <sheetPr codeName="Sheet18"/>
  <dimension ref="A1:I19"/>
  <sheetViews>
    <sheetView workbookViewId="0">
      <selection activeCell="I6" sqref="I6"/>
    </sheetView>
  </sheetViews>
  <sheetFormatPr defaultRowHeight="14.4"/>
  <cols>
    <col min="1" max="1" width="11.5546875" customWidth="1"/>
    <col min="2" max="2" width="11.6640625" customWidth="1"/>
    <col min="3" max="3" width="13.109375" customWidth="1"/>
    <col min="5" max="5" width="13.44140625" customWidth="1"/>
    <col min="8" max="8" width="12.33203125" customWidth="1"/>
    <col min="9" max="9" width="10.33203125" bestFit="1" customWidth="1"/>
  </cols>
  <sheetData>
    <row r="1" spans="1:9">
      <c r="A1" t="s">
        <v>0</v>
      </c>
      <c r="B1" t="s">
        <v>1</v>
      </c>
      <c r="C1" t="s">
        <v>601</v>
      </c>
      <c r="D1" t="s">
        <v>3</v>
      </c>
      <c r="E1" t="s">
        <v>4</v>
      </c>
    </row>
    <row r="2" spans="1:9">
      <c r="A2" t="s">
        <v>5</v>
      </c>
      <c r="B2" t="s">
        <v>6</v>
      </c>
      <c r="C2" t="s">
        <v>7</v>
      </c>
      <c r="D2">
        <v>41954</v>
      </c>
      <c r="E2" s="28">
        <v>43831</v>
      </c>
    </row>
    <row r="3" spans="1:9">
      <c r="A3" t="s">
        <v>8</v>
      </c>
      <c r="B3" t="s">
        <v>9</v>
      </c>
      <c r="C3" t="s">
        <v>13</v>
      </c>
      <c r="D3">
        <v>49855</v>
      </c>
      <c r="E3" s="28">
        <v>43832</v>
      </c>
    </row>
    <row r="4" spans="1:9">
      <c r="A4" t="s">
        <v>11</v>
      </c>
      <c r="B4" t="s">
        <v>12</v>
      </c>
      <c r="C4" t="s">
        <v>10</v>
      </c>
      <c r="D4">
        <v>94210</v>
      </c>
      <c r="E4" s="28">
        <v>43833</v>
      </c>
    </row>
    <row r="5" spans="1:9">
      <c r="A5" t="s">
        <v>14</v>
      </c>
      <c r="B5" t="s">
        <v>15</v>
      </c>
      <c r="C5" t="s">
        <v>7</v>
      </c>
      <c r="D5">
        <v>74689</v>
      </c>
      <c r="E5" s="28">
        <v>43834</v>
      </c>
      <c r="H5" t="s">
        <v>1</v>
      </c>
      <c r="I5" t="s">
        <v>14</v>
      </c>
    </row>
    <row r="6" spans="1:9">
      <c r="A6" t="s">
        <v>17</v>
      </c>
      <c r="B6" t="s">
        <v>18</v>
      </c>
      <c r="C6" t="s">
        <v>13</v>
      </c>
      <c r="D6">
        <v>90652</v>
      </c>
      <c r="E6" s="28">
        <v>43835</v>
      </c>
      <c r="H6" t="s">
        <v>601</v>
      </c>
      <c r="I6" s="28" t="str">
        <f>VLOOKUP($I$5,$A$1:$E$13,MATCH(H6,$A$1:$E$1,0),0)</f>
        <v>Finance</v>
      </c>
    </row>
    <row r="7" spans="1:9">
      <c r="A7" t="s">
        <v>20</v>
      </c>
      <c r="B7" t="s">
        <v>12</v>
      </c>
      <c r="C7" t="s">
        <v>13</v>
      </c>
      <c r="D7">
        <v>74820</v>
      </c>
      <c r="E7" s="28">
        <v>43836</v>
      </c>
      <c r="H7" t="s">
        <v>3</v>
      </c>
      <c r="I7">
        <f>VLOOKUP($I$5,$A$1:$E$13,MATCH(H7,$A$1:$E$1,0),0)</f>
        <v>74689</v>
      </c>
    </row>
    <row r="8" spans="1:9">
      <c r="A8" t="s">
        <v>22</v>
      </c>
      <c r="B8" t="s">
        <v>23</v>
      </c>
      <c r="C8" t="s">
        <v>10</v>
      </c>
      <c r="D8">
        <v>85206</v>
      </c>
      <c r="E8" s="28">
        <v>43837</v>
      </c>
    </row>
    <row r="9" spans="1:9">
      <c r="A9" t="s">
        <v>24</v>
      </c>
      <c r="B9" t="s">
        <v>25</v>
      </c>
      <c r="C9" t="s">
        <v>7</v>
      </c>
      <c r="D9">
        <v>30924</v>
      </c>
      <c r="E9" s="28">
        <v>43838</v>
      </c>
    </row>
    <row r="10" spans="1:9">
      <c r="A10" t="s">
        <v>26</v>
      </c>
      <c r="B10" t="s">
        <v>27</v>
      </c>
      <c r="C10" t="s">
        <v>13</v>
      </c>
      <c r="D10">
        <v>57737</v>
      </c>
      <c r="E10" s="28">
        <v>43839</v>
      </c>
    </row>
    <row r="11" spans="1:9">
      <c r="A11" t="s">
        <v>28</v>
      </c>
      <c r="B11" t="s">
        <v>156</v>
      </c>
      <c r="C11" t="s">
        <v>10</v>
      </c>
      <c r="D11">
        <v>36000</v>
      </c>
      <c r="E11" s="28">
        <v>43840</v>
      </c>
    </row>
    <row r="12" spans="1:9">
      <c r="A12" t="s">
        <v>29</v>
      </c>
      <c r="B12" t="s">
        <v>30</v>
      </c>
      <c r="C12" t="s">
        <v>10</v>
      </c>
      <c r="D12">
        <v>96371</v>
      </c>
      <c r="E12" s="28">
        <v>43841</v>
      </c>
    </row>
    <row r="13" spans="1:9">
      <c r="A13" t="s">
        <v>31</v>
      </c>
      <c r="B13" t="s">
        <v>32</v>
      </c>
      <c r="C13" t="s">
        <v>13</v>
      </c>
      <c r="D13">
        <v>85028</v>
      </c>
      <c r="E13" s="28">
        <v>43842</v>
      </c>
    </row>
    <row r="19" spans="5:5">
      <c r="E19" t="s">
        <v>1887</v>
      </c>
    </row>
  </sheetData>
  <dataValidations count="2">
    <dataValidation type="list" allowBlank="1" showInputMessage="1" showErrorMessage="1" sqref="I5" xr:uid="{633D0E21-2A3E-4026-88EE-A919EAE7D3E7}">
      <formula1>$A$2:$A$13</formula1>
    </dataValidation>
    <dataValidation type="list" allowBlank="1" showInputMessage="1" showErrorMessage="1" sqref="H5 H6 H7" xr:uid="{59E85614-FD8B-41E7-AF04-1B5F09291DEA}">
      <formula1>$A$1:$E$1</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1241B-2772-4824-840C-3F5B5D2375A1}">
  <sheetPr codeName="Sheet19"/>
  <dimension ref="A1:M25"/>
  <sheetViews>
    <sheetView topLeftCell="A6" zoomScaleNormal="100" workbookViewId="0">
      <selection activeCell="D26" sqref="D26"/>
    </sheetView>
  </sheetViews>
  <sheetFormatPr defaultRowHeight="14.4"/>
  <cols>
    <col min="1" max="1" width="14.21875" customWidth="1"/>
    <col min="2" max="2" width="15.6640625" customWidth="1"/>
    <col min="3" max="3" width="17.33203125" customWidth="1"/>
    <col min="4" max="4" width="16.88671875" customWidth="1"/>
    <col min="5" max="5" width="17.44140625" customWidth="1"/>
    <col min="6" max="6" width="17.88671875" customWidth="1"/>
    <col min="7" max="7" width="18.33203125" customWidth="1"/>
  </cols>
  <sheetData>
    <row r="1" spans="1:12" ht="28.8">
      <c r="A1" s="43" t="s">
        <v>1831</v>
      </c>
      <c r="B1" s="43" t="s">
        <v>1832</v>
      </c>
      <c r="C1" s="43" t="s">
        <v>1833</v>
      </c>
      <c r="D1" s="43" t="s">
        <v>1834</v>
      </c>
      <c r="E1" s="43" t="s">
        <v>1835</v>
      </c>
      <c r="F1" s="43" t="s">
        <v>1836</v>
      </c>
      <c r="G1" s="43" t="s">
        <v>1837</v>
      </c>
    </row>
    <row r="2" spans="1:12" ht="28.8">
      <c r="A2" s="44" t="s">
        <v>1838</v>
      </c>
      <c r="B2" s="44" t="s">
        <v>1839</v>
      </c>
      <c r="C2" s="44" t="s">
        <v>1840</v>
      </c>
      <c r="D2" s="44" t="s">
        <v>1841</v>
      </c>
      <c r="E2" s="44" t="s">
        <v>1842</v>
      </c>
      <c r="F2" s="44" t="s">
        <v>1843</v>
      </c>
      <c r="G2" s="44" t="s">
        <v>1844</v>
      </c>
    </row>
    <row r="3" spans="1:12" ht="28.8">
      <c r="A3" s="44" t="s">
        <v>1845</v>
      </c>
      <c r="B3" s="44" t="s">
        <v>1846</v>
      </c>
      <c r="C3" s="44" t="s">
        <v>1847</v>
      </c>
      <c r="D3" s="44" t="s">
        <v>1848</v>
      </c>
      <c r="E3" s="44" t="s">
        <v>1849</v>
      </c>
      <c r="F3" s="44" t="s">
        <v>1843</v>
      </c>
      <c r="G3" s="44" t="s">
        <v>1850</v>
      </c>
    </row>
    <row r="4" spans="1:12">
      <c r="A4" s="44" t="s">
        <v>1851</v>
      </c>
      <c r="B4" s="44" t="s">
        <v>1852</v>
      </c>
      <c r="C4" s="44" t="s">
        <v>1853</v>
      </c>
      <c r="D4" s="44" t="s">
        <v>1854</v>
      </c>
      <c r="E4" s="44" t="s">
        <v>1855</v>
      </c>
      <c r="F4" s="44" t="s">
        <v>1843</v>
      </c>
      <c r="G4" s="44" t="s">
        <v>1856</v>
      </c>
    </row>
    <row r="5" spans="1:12" ht="28.8">
      <c r="A5" s="44" t="s">
        <v>1857</v>
      </c>
      <c r="B5" s="44" t="s">
        <v>1858</v>
      </c>
      <c r="C5" s="44" t="s">
        <v>1859</v>
      </c>
      <c r="D5" s="44" t="s">
        <v>1860</v>
      </c>
      <c r="E5" s="44" t="s">
        <v>1861</v>
      </c>
      <c r="F5" s="44" t="s">
        <v>1843</v>
      </c>
      <c r="G5" s="44" t="s">
        <v>1862</v>
      </c>
    </row>
    <row r="6" spans="1:12" ht="28.8">
      <c r="A6" s="44" t="s">
        <v>1863</v>
      </c>
      <c r="B6" s="44" t="s">
        <v>1864</v>
      </c>
      <c r="C6" s="44" t="s">
        <v>1865</v>
      </c>
      <c r="D6" s="44" t="s">
        <v>1866</v>
      </c>
      <c r="E6" s="44" t="s">
        <v>1867</v>
      </c>
      <c r="F6" s="44" t="s">
        <v>1843</v>
      </c>
      <c r="G6" s="44" t="s">
        <v>1868</v>
      </c>
    </row>
    <row r="7" spans="1:12" ht="43.2">
      <c r="A7" s="44" t="s">
        <v>1869</v>
      </c>
      <c r="B7" s="44" t="s">
        <v>1870</v>
      </c>
      <c r="C7" s="44" t="s">
        <v>1871</v>
      </c>
      <c r="D7" s="44" t="s">
        <v>1872</v>
      </c>
      <c r="E7" s="44" t="s">
        <v>1873</v>
      </c>
      <c r="F7" s="44" t="s">
        <v>1843</v>
      </c>
      <c r="G7" s="44" t="s">
        <v>1874</v>
      </c>
    </row>
    <row r="8" spans="1:12">
      <c r="A8" s="44" t="s">
        <v>1875</v>
      </c>
      <c r="B8" s="44" t="s">
        <v>1876</v>
      </c>
      <c r="C8" s="44" t="s">
        <v>1877</v>
      </c>
      <c r="D8" s="44" t="s">
        <v>1878</v>
      </c>
      <c r="E8" s="44" t="s">
        <v>1879</v>
      </c>
      <c r="F8" s="44" t="s">
        <v>1843</v>
      </c>
      <c r="G8" s="44" t="s">
        <v>1880</v>
      </c>
    </row>
    <row r="9" spans="1:12" ht="43.2">
      <c r="A9" s="44" t="s">
        <v>1881</v>
      </c>
      <c r="B9" s="44" t="s">
        <v>1882</v>
      </c>
      <c r="C9" s="44" t="s">
        <v>1883</v>
      </c>
      <c r="D9" s="44" t="s">
        <v>1884</v>
      </c>
      <c r="E9" s="44" t="s">
        <v>1885</v>
      </c>
      <c r="F9" s="44" t="s">
        <v>1843</v>
      </c>
      <c r="G9" s="44" t="s">
        <v>1886</v>
      </c>
    </row>
    <row r="10" spans="1:12">
      <c r="C10" s="45" t="s">
        <v>1890</v>
      </c>
    </row>
    <row r="12" spans="1:12">
      <c r="B12" s="43" t="s">
        <v>1831</v>
      </c>
      <c r="C12" s="43" t="s">
        <v>1832</v>
      </c>
    </row>
    <row r="13" spans="1:12" ht="21">
      <c r="B13" t="s">
        <v>1857</v>
      </c>
      <c r="C13" t="str" cm="1">
        <f t="array" ref="C13">INDEX(A1:G9,D24,D25)</f>
        <v>History (Mr. Brown)</v>
      </c>
      <c r="K13" s="18" t="s">
        <v>538</v>
      </c>
      <c r="L13" s="18"/>
    </row>
    <row r="15" spans="1:12">
      <c r="I15" t="s">
        <v>1892</v>
      </c>
    </row>
    <row r="16" spans="1:12">
      <c r="I16" t="s">
        <v>1893</v>
      </c>
    </row>
    <row r="17" spans="2:13">
      <c r="B17" s="24" t="s">
        <v>1891</v>
      </c>
      <c r="I17" t="s">
        <v>1894</v>
      </c>
    </row>
    <row r="18" spans="2:13">
      <c r="I18" t="s">
        <v>1895</v>
      </c>
    </row>
    <row r="19" spans="2:13">
      <c r="I19" t="s">
        <v>1896</v>
      </c>
      <c r="L19" t="s">
        <v>1897</v>
      </c>
    </row>
    <row r="20" spans="2:13">
      <c r="I20" t="s">
        <v>1898</v>
      </c>
      <c r="M20" t="s">
        <v>1899</v>
      </c>
    </row>
    <row r="21" spans="2:13">
      <c r="I21" t="s">
        <v>1900</v>
      </c>
    </row>
    <row r="22" spans="2:13">
      <c r="I22" t="s">
        <v>1901</v>
      </c>
    </row>
    <row r="23" spans="2:13">
      <c r="I23" t="s">
        <v>1902</v>
      </c>
      <c r="K23" t="s">
        <v>1903</v>
      </c>
    </row>
    <row r="24" spans="2:13">
      <c r="C24" t="s">
        <v>1888</v>
      </c>
      <c r="D24">
        <f>MATCH(B13,A1:A9,0)</f>
        <v>5</v>
      </c>
      <c r="I24" t="s">
        <v>1904</v>
      </c>
    </row>
    <row r="25" spans="2:13">
      <c r="C25" t="s">
        <v>1889</v>
      </c>
      <c r="D25">
        <f>MATCH(C12,A1:G1,0)</f>
        <v>2</v>
      </c>
    </row>
  </sheetData>
  <dataValidations count="2">
    <dataValidation type="list" allowBlank="1" showInputMessage="1" showErrorMessage="1" sqref="B13" xr:uid="{C1A078A8-33E0-4368-9388-44B449CFBBA8}">
      <formula1>$A$2:$A$9</formula1>
    </dataValidation>
    <dataValidation type="list" allowBlank="1" showInputMessage="1" showErrorMessage="1" sqref="C12" xr:uid="{DDF4BA75-A43A-49BD-A96F-12DAFC198245}">
      <formula1>$B$1:$G$1</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D6A7E-C64A-4D45-A934-75B8D4F74B08}">
  <sheetPr codeName="Sheet20"/>
  <dimension ref="A1:Y220"/>
  <sheetViews>
    <sheetView topLeftCell="A51" workbookViewId="0">
      <selection activeCell="O73" sqref="O73"/>
    </sheetView>
  </sheetViews>
  <sheetFormatPr defaultRowHeight="14.4"/>
  <cols>
    <col min="1" max="1" width="12.44140625" customWidth="1"/>
    <col min="4" max="4" width="12.21875" customWidth="1"/>
    <col min="6" max="6" width="15.109375" customWidth="1"/>
    <col min="7" max="7" width="12.44140625" customWidth="1"/>
    <col min="9" max="9" width="13.6640625" customWidth="1"/>
    <col min="10" max="10" width="16.44140625" customWidth="1"/>
    <col min="11" max="11" width="11.5546875" customWidth="1"/>
    <col min="12" max="12" width="14.109375" customWidth="1"/>
    <col min="13" max="13" width="14.6640625" customWidth="1"/>
    <col min="17" max="17" width="15" customWidth="1"/>
    <col min="21" max="21" width="27.109375" customWidth="1"/>
    <col min="22" max="23" width="8.88671875" customWidth="1"/>
    <col min="24" max="24" width="8.88671875" hidden="1" customWidth="1"/>
  </cols>
  <sheetData>
    <row r="1" spans="1:21" ht="18">
      <c r="A1" t="s">
        <v>503</v>
      </c>
      <c r="B1" t="s">
        <v>542</v>
      </c>
      <c r="C1" t="s">
        <v>383</v>
      </c>
      <c r="D1" t="s">
        <v>505</v>
      </c>
      <c r="E1" t="s">
        <v>504</v>
      </c>
      <c r="F1" t="s">
        <v>543</v>
      </c>
      <c r="G1" t="s">
        <v>175</v>
      </c>
      <c r="H1" t="s">
        <v>507</v>
      </c>
      <c r="I1" t="s">
        <v>508</v>
      </c>
      <c r="J1" t="s">
        <v>509</v>
      </c>
      <c r="L1" s="13" t="s">
        <v>1908</v>
      </c>
      <c r="M1" s="13"/>
      <c r="N1" s="13"/>
      <c r="O1" s="13"/>
      <c r="Q1" t="s">
        <v>543</v>
      </c>
    </row>
    <row r="2" spans="1:21" ht="21">
      <c r="A2" s="28">
        <v>45102</v>
      </c>
      <c r="B2" t="s">
        <v>544</v>
      </c>
      <c r="C2" t="s">
        <v>521</v>
      </c>
      <c r="D2" t="s">
        <v>511</v>
      </c>
      <c r="E2" t="s">
        <v>510</v>
      </c>
      <c r="F2" t="s">
        <v>192</v>
      </c>
      <c r="G2" t="s">
        <v>545</v>
      </c>
      <c r="H2">
        <v>6</v>
      </c>
      <c r="I2">
        <v>4016.85</v>
      </c>
      <c r="J2">
        <v>24097.57</v>
      </c>
      <c r="Q2" t="s">
        <v>192</v>
      </c>
      <c r="U2" s="18" t="s">
        <v>1926</v>
      </c>
    </row>
    <row r="3" spans="1:21">
      <c r="A3" s="28">
        <v>45028</v>
      </c>
      <c r="B3" t="s">
        <v>555</v>
      </c>
      <c r="C3" t="s">
        <v>522</v>
      </c>
      <c r="D3" t="s">
        <v>515</v>
      </c>
      <c r="E3" t="s">
        <v>512</v>
      </c>
      <c r="F3" t="s">
        <v>188</v>
      </c>
      <c r="G3" t="s">
        <v>547</v>
      </c>
      <c r="H3">
        <v>9</v>
      </c>
      <c r="I3">
        <v>3801.85</v>
      </c>
      <c r="J3">
        <v>34216.65</v>
      </c>
      <c r="K3" s="24" t="s">
        <v>1907</v>
      </c>
      <c r="L3" t="s">
        <v>505</v>
      </c>
      <c r="M3" t="s">
        <v>1906</v>
      </c>
      <c r="Q3" t="s">
        <v>188</v>
      </c>
    </row>
    <row r="4" spans="1:21" ht="18">
      <c r="A4" s="28">
        <v>45032</v>
      </c>
      <c r="B4" t="s">
        <v>548</v>
      </c>
      <c r="C4" t="s">
        <v>549</v>
      </c>
      <c r="D4" t="s">
        <v>513</v>
      </c>
      <c r="E4" t="s">
        <v>512</v>
      </c>
      <c r="F4" t="s">
        <v>188</v>
      </c>
      <c r="G4" t="s">
        <v>547</v>
      </c>
      <c r="H4">
        <v>11</v>
      </c>
      <c r="I4">
        <v>3594.07</v>
      </c>
      <c r="J4">
        <v>39534.769999999997</v>
      </c>
      <c r="L4" t="s">
        <v>511</v>
      </c>
      <c r="M4">
        <f>COUNTIF(D:D,L4)</f>
        <v>5</v>
      </c>
      <c r="Q4" t="s">
        <v>196</v>
      </c>
      <c r="T4" s="38" t="s">
        <v>1911</v>
      </c>
    </row>
    <row r="5" spans="1:21">
      <c r="A5" s="28">
        <v>45059</v>
      </c>
      <c r="B5" t="s">
        <v>551</v>
      </c>
      <c r="C5" t="s">
        <v>516</v>
      </c>
      <c r="D5" t="s">
        <v>515</v>
      </c>
      <c r="E5" t="s">
        <v>512</v>
      </c>
      <c r="F5" t="s">
        <v>196</v>
      </c>
      <c r="G5" t="s">
        <v>550</v>
      </c>
      <c r="H5">
        <v>8</v>
      </c>
      <c r="I5">
        <v>967.6</v>
      </c>
      <c r="J5">
        <v>4838</v>
      </c>
      <c r="L5" t="s">
        <v>515</v>
      </c>
      <c r="M5">
        <f>COUNTIF(D:D,L5)</f>
        <v>6</v>
      </c>
      <c r="Q5" t="s">
        <v>517</v>
      </c>
    </row>
    <row r="6" spans="1:21">
      <c r="A6" s="28">
        <v>45131</v>
      </c>
      <c r="B6" t="s">
        <v>551</v>
      </c>
      <c r="C6" t="s">
        <v>382</v>
      </c>
      <c r="D6" t="s">
        <v>511</v>
      </c>
      <c r="E6" t="s">
        <v>510</v>
      </c>
      <c r="F6" t="s">
        <v>517</v>
      </c>
      <c r="G6" t="s">
        <v>552</v>
      </c>
      <c r="H6">
        <v>17</v>
      </c>
      <c r="I6">
        <v>1240.77</v>
      </c>
      <c r="J6">
        <v>21093.09</v>
      </c>
      <c r="L6" t="s">
        <v>513</v>
      </c>
      <c r="M6">
        <f>COUNTIF(D:D,L6)</f>
        <v>5</v>
      </c>
      <c r="Q6" t="s">
        <v>180</v>
      </c>
      <c r="T6" t="s">
        <v>1912</v>
      </c>
    </row>
    <row r="7" spans="1:21">
      <c r="A7" s="28">
        <v>45151</v>
      </c>
      <c r="B7" t="s">
        <v>553</v>
      </c>
      <c r="C7" t="s">
        <v>516</v>
      </c>
      <c r="D7" t="s">
        <v>515</v>
      </c>
      <c r="E7" t="s">
        <v>512</v>
      </c>
      <c r="F7" t="s">
        <v>188</v>
      </c>
      <c r="G7" t="s">
        <v>554</v>
      </c>
      <c r="H7">
        <v>19</v>
      </c>
      <c r="I7">
        <v>4727.29</v>
      </c>
      <c r="J7">
        <v>89818.46</v>
      </c>
      <c r="L7" t="s">
        <v>524</v>
      </c>
      <c r="M7">
        <f>COUNTIF(D:D,L7)</f>
        <v>4</v>
      </c>
    </row>
    <row r="8" spans="1:21" ht="18">
      <c r="A8" s="28">
        <v>45265</v>
      </c>
      <c r="B8" t="s">
        <v>555</v>
      </c>
      <c r="C8" t="s">
        <v>514</v>
      </c>
      <c r="D8" t="s">
        <v>513</v>
      </c>
      <c r="E8" t="s">
        <v>512</v>
      </c>
      <c r="F8" t="s">
        <v>180</v>
      </c>
      <c r="G8" t="s">
        <v>135</v>
      </c>
      <c r="H8">
        <v>5</v>
      </c>
      <c r="I8">
        <v>2196.9899999999998</v>
      </c>
      <c r="J8">
        <v>10984.95</v>
      </c>
      <c r="L8" t="s">
        <v>403</v>
      </c>
      <c r="M8">
        <f>COUNTIF(D:D,L8)</f>
        <v>2</v>
      </c>
      <c r="T8" s="38" t="s">
        <v>1913</v>
      </c>
    </row>
    <row r="9" spans="1:21">
      <c r="A9" s="28">
        <v>45245</v>
      </c>
      <c r="B9" t="s">
        <v>556</v>
      </c>
      <c r="C9" t="s">
        <v>525</v>
      </c>
      <c r="D9" t="s">
        <v>524</v>
      </c>
      <c r="E9" t="s">
        <v>510</v>
      </c>
      <c r="F9" t="s">
        <v>196</v>
      </c>
      <c r="G9" t="s">
        <v>550</v>
      </c>
      <c r="H9">
        <v>1</v>
      </c>
      <c r="I9">
        <v>967.6</v>
      </c>
      <c r="J9">
        <v>4838</v>
      </c>
      <c r="T9" t="s">
        <v>1914</v>
      </c>
    </row>
    <row r="10" spans="1:21" ht="18">
      <c r="A10" s="28">
        <v>45214</v>
      </c>
      <c r="B10" t="s">
        <v>548</v>
      </c>
      <c r="C10" t="s">
        <v>518</v>
      </c>
      <c r="D10" t="s">
        <v>515</v>
      </c>
      <c r="E10" t="s">
        <v>512</v>
      </c>
      <c r="F10" t="s">
        <v>188</v>
      </c>
      <c r="G10" t="s">
        <v>547</v>
      </c>
      <c r="H10">
        <v>18</v>
      </c>
      <c r="I10">
        <v>3128.59</v>
      </c>
      <c r="J10">
        <v>56314.62</v>
      </c>
      <c r="L10" s="13" t="s">
        <v>1925</v>
      </c>
      <c r="M10" s="13"/>
      <c r="N10" s="13"/>
      <c r="O10" s="13"/>
      <c r="U10" t="s">
        <v>1931</v>
      </c>
    </row>
    <row r="11" spans="1:21" ht="18">
      <c r="A11" s="28">
        <v>44969</v>
      </c>
      <c r="B11" t="s">
        <v>1905</v>
      </c>
      <c r="C11" t="s">
        <v>516</v>
      </c>
      <c r="D11" t="s">
        <v>515</v>
      </c>
      <c r="E11" t="s">
        <v>512</v>
      </c>
      <c r="F11" t="s">
        <v>192</v>
      </c>
      <c r="G11" t="s">
        <v>545</v>
      </c>
      <c r="H11">
        <v>3</v>
      </c>
      <c r="I11">
        <v>2574.33</v>
      </c>
      <c r="J11">
        <v>7723</v>
      </c>
      <c r="L11" s="13" t="s">
        <v>1909</v>
      </c>
      <c r="M11" s="13"/>
      <c r="N11" s="13"/>
      <c r="O11" s="13"/>
    </row>
    <row r="12" spans="1:21">
      <c r="A12" s="28">
        <v>45224</v>
      </c>
      <c r="B12" t="s">
        <v>555</v>
      </c>
      <c r="C12" t="s">
        <v>525</v>
      </c>
      <c r="D12" t="s">
        <v>524</v>
      </c>
      <c r="E12" t="s">
        <v>510</v>
      </c>
      <c r="F12" t="s">
        <v>180</v>
      </c>
      <c r="G12" t="s">
        <v>138</v>
      </c>
      <c r="H12">
        <v>19</v>
      </c>
      <c r="I12">
        <v>4586.0200000000004</v>
      </c>
      <c r="J12">
        <v>87134.38</v>
      </c>
      <c r="T12" s="24" t="s">
        <v>1915</v>
      </c>
    </row>
    <row r="13" spans="1:21" ht="15.6">
      <c r="A13" s="28">
        <v>44939</v>
      </c>
      <c r="B13" t="s">
        <v>553</v>
      </c>
      <c r="C13" t="s">
        <v>521</v>
      </c>
      <c r="D13" t="s">
        <v>511</v>
      </c>
      <c r="E13" t="s">
        <v>510</v>
      </c>
      <c r="F13" t="s">
        <v>188</v>
      </c>
      <c r="G13" t="s">
        <v>547</v>
      </c>
      <c r="H13">
        <v>10</v>
      </c>
      <c r="I13">
        <v>8698.93</v>
      </c>
      <c r="J13">
        <v>86989.3</v>
      </c>
      <c r="K13" s="49" t="s">
        <v>1907</v>
      </c>
      <c r="L13" t="s">
        <v>1910</v>
      </c>
      <c r="M13" t="s">
        <v>192</v>
      </c>
      <c r="N13" t="s">
        <v>188</v>
      </c>
      <c r="O13" t="s">
        <v>196</v>
      </c>
      <c r="P13" t="s">
        <v>517</v>
      </c>
      <c r="Q13" t="s">
        <v>180</v>
      </c>
      <c r="T13" s="39"/>
    </row>
    <row r="14" spans="1:21">
      <c r="A14" s="28">
        <v>45119</v>
      </c>
      <c r="B14" t="s">
        <v>560</v>
      </c>
      <c r="C14" t="s">
        <v>514</v>
      </c>
      <c r="D14" t="s">
        <v>513</v>
      </c>
      <c r="E14" t="s">
        <v>512</v>
      </c>
      <c r="F14" t="s">
        <v>188</v>
      </c>
      <c r="G14" t="s">
        <v>554</v>
      </c>
      <c r="H14">
        <v>3</v>
      </c>
      <c r="I14">
        <v>2573.27</v>
      </c>
      <c r="J14">
        <v>2579.62</v>
      </c>
      <c r="L14" t="s">
        <v>511</v>
      </c>
      <c r="M14">
        <f t="shared" ref="M14:Q18" si="0">COUNTIFS($D:$D,$L14,$F:$F,M$13)</f>
        <v>1</v>
      </c>
      <c r="N14">
        <f t="shared" si="0"/>
        <v>1</v>
      </c>
      <c r="O14">
        <f t="shared" si="0"/>
        <v>2</v>
      </c>
      <c r="P14">
        <f t="shared" si="0"/>
        <v>1</v>
      </c>
      <c r="Q14">
        <f t="shared" si="0"/>
        <v>0</v>
      </c>
      <c r="T14" s="40" t="s">
        <v>1916</v>
      </c>
    </row>
    <row r="15" spans="1:21">
      <c r="A15" s="28">
        <v>45062</v>
      </c>
      <c r="B15" t="s">
        <v>556</v>
      </c>
      <c r="C15" t="s">
        <v>525</v>
      </c>
      <c r="D15" t="s">
        <v>524</v>
      </c>
      <c r="E15" t="s">
        <v>510</v>
      </c>
      <c r="F15" t="s">
        <v>196</v>
      </c>
      <c r="G15" t="s">
        <v>557</v>
      </c>
      <c r="H15">
        <v>7</v>
      </c>
      <c r="I15">
        <v>1267.3399999999999</v>
      </c>
      <c r="J15">
        <v>8861.3799999999992</v>
      </c>
      <c r="L15" t="s">
        <v>515</v>
      </c>
      <c r="M15">
        <f t="shared" si="0"/>
        <v>1</v>
      </c>
      <c r="N15">
        <f t="shared" si="0"/>
        <v>4</v>
      </c>
      <c r="O15">
        <f t="shared" si="0"/>
        <v>1</v>
      </c>
      <c r="P15">
        <f t="shared" si="0"/>
        <v>0</v>
      </c>
      <c r="Q15">
        <f t="shared" si="0"/>
        <v>0</v>
      </c>
      <c r="T15" s="39"/>
    </row>
    <row r="16" spans="1:21">
      <c r="A16" s="28">
        <v>45010</v>
      </c>
      <c r="B16" t="s">
        <v>560</v>
      </c>
      <c r="C16" t="s">
        <v>521</v>
      </c>
      <c r="D16" t="s">
        <v>511</v>
      </c>
      <c r="E16" t="s">
        <v>510</v>
      </c>
      <c r="F16" t="s">
        <v>196</v>
      </c>
      <c r="G16" t="s">
        <v>559</v>
      </c>
      <c r="H16">
        <v>5</v>
      </c>
      <c r="I16">
        <v>2354.37</v>
      </c>
      <c r="J16">
        <v>11771.85</v>
      </c>
      <c r="L16" t="s">
        <v>513</v>
      </c>
      <c r="M16">
        <f t="shared" si="0"/>
        <v>0</v>
      </c>
      <c r="N16">
        <f t="shared" si="0"/>
        <v>3</v>
      </c>
      <c r="O16">
        <f t="shared" si="0"/>
        <v>0</v>
      </c>
      <c r="P16">
        <f t="shared" si="0"/>
        <v>1</v>
      </c>
      <c r="Q16">
        <f t="shared" si="0"/>
        <v>1</v>
      </c>
      <c r="T16" s="40" t="s">
        <v>1917</v>
      </c>
    </row>
    <row r="17" spans="1:25">
      <c r="A17" s="28">
        <v>45089</v>
      </c>
      <c r="B17" t="s">
        <v>551</v>
      </c>
      <c r="C17" t="s">
        <v>561</v>
      </c>
      <c r="D17" t="s">
        <v>403</v>
      </c>
      <c r="E17" t="s">
        <v>519</v>
      </c>
      <c r="F17" t="s">
        <v>192</v>
      </c>
      <c r="G17" t="s">
        <v>545</v>
      </c>
      <c r="H17">
        <v>11</v>
      </c>
      <c r="I17">
        <v>4509.49</v>
      </c>
      <c r="J17">
        <v>49604.39</v>
      </c>
      <c r="L17" t="s">
        <v>524</v>
      </c>
      <c r="M17">
        <f t="shared" si="0"/>
        <v>0</v>
      </c>
      <c r="N17">
        <f t="shared" si="0"/>
        <v>0</v>
      </c>
      <c r="O17">
        <f t="shared" si="0"/>
        <v>2</v>
      </c>
      <c r="P17">
        <f t="shared" si="0"/>
        <v>1</v>
      </c>
      <c r="Q17">
        <f t="shared" si="0"/>
        <v>1</v>
      </c>
      <c r="T17" s="39"/>
    </row>
    <row r="18" spans="1:25">
      <c r="A18" s="28">
        <v>45122</v>
      </c>
      <c r="B18" t="s">
        <v>548</v>
      </c>
      <c r="C18" t="s">
        <v>385</v>
      </c>
      <c r="D18" t="s">
        <v>524</v>
      </c>
      <c r="E18" t="s">
        <v>510</v>
      </c>
      <c r="F18" t="s">
        <v>517</v>
      </c>
      <c r="G18" t="s">
        <v>552</v>
      </c>
      <c r="H18">
        <v>3</v>
      </c>
      <c r="I18">
        <v>2113.48</v>
      </c>
      <c r="J18">
        <v>6340.44</v>
      </c>
      <c r="L18" t="s">
        <v>403</v>
      </c>
      <c r="M18">
        <f t="shared" si="0"/>
        <v>1</v>
      </c>
      <c r="N18">
        <f t="shared" si="0"/>
        <v>0</v>
      </c>
      <c r="O18">
        <f t="shared" si="0"/>
        <v>0</v>
      </c>
      <c r="P18">
        <f t="shared" si="0"/>
        <v>0</v>
      </c>
      <c r="Q18">
        <f t="shared" si="0"/>
        <v>1</v>
      </c>
      <c r="T18" s="40" t="s">
        <v>1918</v>
      </c>
    </row>
    <row r="19" spans="1:25">
      <c r="A19" s="28">
        <v>45166</v>
      </c>
      <c r="B19" t="s">
        <v>553</v>
      </c>
      <c r="C19" t="s">
        <v>514</v>
      </c>
      <c r="D19" t="s">
        <v>511</v>
      </c>
      <c r="E19" t="s">
        <v>510</v>
      </c>
      <c r="F19" t="s">
        <v>196</v>
      </c>
      <c r="G19" t="s">
        <v>550</v>
      </c>
      <c r="H19">
        <v>10</v>
      </c>
      <c r="I19">
        <v>4247.7299999999996</v>
      </c>
      <c r="J19">
        <v>42477.3</v>
      </c>
    </row>
    <row r="20" spans="1:25" ht="18">
      <c r="A20" s="28">
        <v>45191</v>
      </c>
      <c r="B20" t="s">
        <v>548</v>
      </c>
      <c r="C20" t="s">
        <v>514</v>
      </c>
      <c r="D20" t="s">
        <v>513</v>
      </c>
      <c r="E20" t="s">
        <v>512</v>
      </c>
      <c r="F20" t="s">
        <v>188</v>
      </c>
      <c r="G20" t="s">
        <v>554</v>
      </c>
      <c r="H20">
        <v>4</v>
      </c>
      <c r="I20">
        <v>2347.14</v>
      </c>
      <c r="J20">
        <v>9388.56</v>
      </c>
      <c r="L20" s="13" t="s">
        <v>1944</v>
      </c>
      <c r="T20" s="24" t="s">
        <v>1919</v>
      </c>
    </row>
    <row r="21" spans="1:25">
      <c r="A21" s="28">
        <v>45273</v>
      </c>
      <c r="B21" t="s">
        <v>563</v>
      </c>
      <c r="C21" t="s">
        <v>564</v>
      </c>
      <c r="D21" t="s">
        <v>403</v>
      </c>
      <c r="E21" t="s">
        <v>519</v>
      </c>
      <c r="F21" t="s">
        <v>180</v>
      </c>
      <c r="G21" t="s">
        <v>138</v>
      </c>
      <c r="H21">
        <v>9</v>
      </c>
      <c r="I21">
        <v>5862.99</v>
      </c>
      <c r="J21">
        <v>52766.91</v>
      </c>
      <c r="T21" s="39"/>
    </row>
    <row r="22" spans="1:25" ht="15.6">
      <c r="A22" s="28">
        <v>45044</v>
      </c>
      <c r="B22" t="s">
        <v>555</v>
      </c>
      <c r="C22" t="s">
        <v>522</v>
      </c>
      <c r="D22" t="s">
        <v>515</v>
      </c>
      <c r="E22" t="s">
        <v>512</v>
      </c>
      <c r="F22" t="s">
        <v>188</v>
      </c>
      <c r="G22" t="s">
        <v>547</v>
      </c>
      <c r="H22">
        <v>18</v>
      </c>
      <c r="I22">
        <v>698.42</v>
      </c>
      <c r="J22">
        <v>12571.56</v>
      </c>
      <c r="K22" s="49" t="s">
        <v>1907</v>
      </c>
      <c r="L22" t="s">
        <v>504</v>
      </c>
      <c r="T22" s="39" t="s">
        <v>1920</v>
      </c>
    </row>
    <row r="23" spans="1:25">
      <c r="A23" s="28">
        <v>45266</v>
      </c>
      <c r="B23" t="s">
        <v>556</v>
      </c>
      <c r="C23" t="s">
        <v>523</v>
      </c>
      <c r="D23" t="s">
        <v>513</v>
      </c>
      <c r="E23" t="s">
        <v>512</v>
      </c>
      <c r="F23" t="s">
        <v>517</v>
      </c>
      <c r="G23" t="s">
        <v>565</v>
      </c>
      <c r="H23">
        <v>19</v>
      </c>
      <c r="I23">
        <v>2494.11</v>
      </c>
      <c r="J23">
        <v>4988.09</v>
      </c>
      <c r="L23" t="s">
        <v>510</v>
      </c>
      <c r="M23">
        <f>SUMIF(E:E,L23,H:H)</f>
        <v>78</v>
      </c>
      <c r="T23" s="39"/>
    </row>
    <row r="24" spans="1:25">
      <c r="L24" t="s">
        <v>512</v>
      </c>
      <c r="M24">
        <f>SUMIF(E:E,L24,H:H)</f>
        <v>117</v>
      </c>
      <c r="T24" s="39" t="s">
        <v>1921</v>
      </c>
      <c r="Y24" t="s">
        <v>1924</v>
      </c>
    </row>
    <row r="25" spans="1:25">
      <c r="L25" t="s">
        <v>519</v>
      </c>
      <c r="M25">
        <f>SUMIF(E:E,L25,H:H)</f>
        <v>20</v>
      </c>
      <c r="T25" s="39"/>
    </row>
    <row r="26" spans="1:25">
      <c r="T26" s="39" t="s">
        <v>1922</v>
      </c>
    </row>
    <row r="27" spans="1:25" ht="21">
      <c r="J27" s="18" t="s">
        <v>1958</v>
      </c>
      <c r="K27" s="18"/>
      <c r="M27" s="13"/>
      <c r="T27" s="39"/>
    </row>
    <row r="28" spans="1:25">
      <c r="T28" s="39" t="s">
        <v>1923</v>
      </c>
    </row>
    <row r="30" spans="1:25" ht="25.8">
      <c r="J30" s="38" t="s">
        <v>1911</v>
      </c>
      <c r="L30" s="38"/>
      <c r="U30" s="20" t="s">
        <v>1927</v>
      </c>
    </row>
    <row r="32" spans="1:25" ht="18">
      <c r="J32" t="s">
        <v>1945</v>
      </c>
      <c r="T32" s="38" t="s">
        <v>1911</v>
      </c>
    </row>
    <row r="34" spans="10:23">
      <c r="T34" t="s">
        <v>1928</v>
      </c>
    </row>
    <row r="36" spans="10:23" ht="18">
      <c r="J36" s="49" t="s">
        <v>1913</v>
      </c>
      <c r="L36" s="38"/>
      <c r="T36" s="38" t="s">
        <v>1913</v>
      </c>
    </row>
    <row r="37" spans="10:23">
      <c r="T37" s="5"/>
      <c r="U37" t="s">
        <v>1929</v>
      </c>
      <c r="W37" t="s">
        <v>1930</v>
      </c>
    </row>
    <row r="38" spans="10:23">
      <c r="J38" t="s">
        <v>1946</v>
      </c>
      <c r="T38" s="41"/>
      <c r="W38" t="s">
        <v>1932</v>
      </c>
    </row>
    <row r="39" spans="10:23" ht="18">
      <c r="J39" s="38" t="s">
        <v>1915</v>
      </c>
      <c r="T39" s="41"/>
    </row>
    <row r="40" spans="10:23">
      <c r="J40" s="39"/>
      <c r="T40" s="24" t="s">
        <v>1915</v>
      </c>
    </row>
    <row r="41" spans="10:23">
      <c r="J41" s="47" t="s">
        <v>1947</v>
      </c>
      <c r="T41" s="39"/>
    </row>
    <row r="42" spans="10:23">
      <c r="J42" s="39"/>
      <c r="T42" s="40" t="s">
        <v>1933</v>
      </c>
    </row>
    <row r="43" spans="10:23">
      <c r="J43" s="47" t="s">
        <v>1948</v>
      </c>
      <c r="T43" s="39"/>
    </row>
    <row r="44" spans="10:23">
      <c r="J44" s="39"/>
      <c r="T44" s="40" t="s">
        <v>1934</v>
      </c>
    </row>
    <row r="45" spans="10:23">
      <c r="J45" s="47" t="s">
        <v>1949</v>
      </c>
      <c r="T45" s="39"/>
    </row>
    <row r="46" spans="10:23">
      <c r="J46" s="39"/>
      <c r="T46" s="40" t="s">
        <v>1935</v>
      </c>
    </row>
    <row r="47" spans="10:23">
      <c r="J47" s="47" t="s">
        <v>1950</v>
      </c>
      <c r="T47" s="39"/>
    </row>
    <row r="48" spans="10:23">
      <c r="T48" s="40" t="s">
        <v>1936</v>
      </c>
    </row>
    <row r="49" spans="10:20">
      <c r="T49" s="39"/>
    </row>
    <row r="50" spans="10:20">
      <c r="T50" s="40" t="s">
        <v>1937</v>
      </c>
    </row>
    <row r="51" spans="10:20" ht="18">
      <c r="J51" s="38" t="s">
        <v>1919</v>
      </c>
      <c r="T51" s="39"/>
    </row>
    <row r="52" spans="10:20">
      <c r="J52" s="39"/>
      <c r="T52" s="39"/>
    </row>
    <row r="53" spans="10:20">
      <c r="J53" s="39" t="s">
        <v>1951</v>
      </c>
      <c r="T53" s="46"/>
    </row>
    <row r="54" spans="10:20">
      <c r="J54" s="39"/>
      <c r="T54" s="46" t="s">
        <v>1938</v>
      </c>
    </row>
    <row r="55" spans="10:20">
      <c r="J55" s="39" t="s">
        <v>1952</v>
      </c>
      <c r="T55" s="46"/>
    </row>
    <row r="56" spans="10:20">
      <c r="J56" s="39"/>
      <c r="T56" s="46" t="s">
        <v>1939</v>
      </c>
    </row>
    <row r="57" spans="10:20">
      <c r="J57" s="39" t="s">
        <v>1953</v>
      </c>
    </row>
    <row r="58" spans="10:20">
      <c r="J58" s="39"/>
      <c r="T58" s="24" t="s">
        <v>1919</v>
      </c>
    </row>
    <row r="59" spans="10:20">
      <c r="J59" s="39"/>
      <c r="T59" s="39"/>
    </row>
    <row r="60" spans="10:20">
      <c r="J60" s="46"/>
      <c r="T60" s="39" t="s">
        <v>1940</v>
      </c>
    </row>
    <row r="61" spans="10:20">
      <c r="J61" s="48" t="s">
        <v>1954</v>
      </c>
      <c r="T61" s="39"/>
    </row>
    <row r="62" spans="10:20">
      <c r="J62" s="46"/>
      <c r="T62" s="39" t="s">
        <v>1941</v>
      </c>
    </row>
    <row r="63" spans="10:20">
      <c r="J63" s="48" t="s">
        <v>1955</v>
      </c>
      <c r="T63" s="39"/>
    </row>
    <row r="64" spans="10:20">
      <c r="J64" s="46"/>
      <c r="T64" s="39" t="s">
        <v>1942</v>
      </c>
    </row>
    <row r="65" spans="7:20">
      <c r="J65" s="48" t="s">
        <v>1956</v>
      </c>
      <c r="T65" s="39"/>
    </row>
    <row r="66" spans="7:20">
      <c r="J66" s="39"/>
      <c r="T66" s="39" t="s">
        <v>1943</v>
      </c>
    </row>
    <row r="67" spans="7:20">
      <c r="J67" s="39" t="s">
        <v>1957</v>
      </c>
    </row>
    <row r="70" spans="7:20" ht="18">
      <c r="L70" s="13" t="s">
        <v>1959</v>
      </c>
    </row>
    <row r="72" spans="7:20">
      <c r="K72" s="24" t="s">
        <v>1960</v>
      </c>
      <c r="L72" t="s">
        <v>1961</v>
      </c>
      <c r="M72" t="s">
        <v>510</v>
      </c>
      <c r="N72" t="s">
        <v>512</v>
      </c>
      <c r="O72" t="s">
        <v>519</v>
      </c>
    </row>
    <row r="73" spans="7:20">
      <c r="G73" t="s">
        <v>504</v>
      </c>
      <c r="H73" t="s">
        <v>175</v>
      </c>
      <c r="L73" t="s">
        <v>545</v>
      </c>
      <c r="M73">
        <f t="shared" ref="M73:O82" si="1">SUMIFS($H:$H,$G:$G,$L73,$E:$E,M$72)</f>
        <v>6</v>
      </c>
      <c r="N73">
        <f t="shared" si="1"/>
        <v>3</v>
      </c>
      <c r="O73">
        <f t="shared" si="1"/>
        <v>11</v>
      </c>
    </row>
    <row r="74" spans="7:20">
      <c r="G74" t="s">
        <v>510</v>
      </c>
      <c r="H74" t="s">
        <v>545</v>
      </c>
      <c r="L74" t="s">
        <v>547</v>
      </c>
      <c r="M74">
        <f t="shared" si="1"/>
        <v>10</v>
      </c>
      <c r="N74">
        <f t="shared" si="1"/>
        <v>56</v>
      </c>
      <c r="O74">
        <f t="shared" si="1"/>
        <v>0</v>
      </c>
    </row>
    <row r="75" spans="7:20">
      <c r="G75" t="s">
        <v>512</v>
      </c>
      <c r="H75" t="s">
        <v>547</v>
      </c>
      <c r="L75" t="s">
        <v>550</v>
      </c>
      <c r="M75">
        <f t="shared" si="1"/>
        <v>11</v>
      </c>
      <c r="N75">
        <f t="shared" si="1"/>
        <v>8</v>
      </c>
      <c r="O75">
        <f t="shared" si="1"/>
        <v>0</v>
      </c>
    </row>
    <row r="76" spans="7:20">
      <c r="G76" t="s">
        <v>519</v>
      </c>
      <c r="H76" t="s">
        <v>550</v>
      </c>
      <c r="L76" t="s">
        <v>552</v>
      </c>
      <c r="M76">
        <f t="shared" si="1"/>
        <v>20</v>
      </c>
      <c r="N76">
        <f t="shared" si="1"/>
        <v>0</v>
      </c>
      <c r="O76">
        <f t="shared" si="1"/>
        <v>0</v>
      </c>
    </row>
    <row r="77" spans="7:20">
      <c r="H77" t="s">
        <v>552</v>
      </c>
      <c r="L77" t="s">
        <v>554</v>
      </c>
      <c r="M77">
        <f t="shared" si="1"/>
        <v>0</v>
      </c>
      <c r="N77">
        <f t="shared" si="1"/>
        <v>26</v>
      </c>
      <c r="O77">
        <f t="shared" si="1"/>
        <v>0</v>
      </c>
    </row>
    <row r="78" spans="7:20">
      <c r="H78" t="s">
        <v>554</v>
      </c>
      <c r="L78" t="s">
        <v>135</v>
      </c>
      <c r="M78">
        <f t="shared" si="1"/>
        <v>0</v>
      </c>
      <c r="N78">
        <f t="shared" si="1"/>
        <v>5</v>
      </c>
      <c r="O78">
        <f t="shared" si="1"/>
        <v>0</v>
      </c>
    </row>
    <row r="79" spans="7:20">
      <c r="H79" t="s">
        <v>135</v>
      </c>
      <c r="L79" t="s">
        <v>138</v>
      </c>
      <c r="M79">
        <f t="shared" si="1"/>
        <v>19</v>
      </c>
      <c r="N79">
        <f t="shared" si="1"/>
        <v>0</v>
      </c>
      <c r="O79">
        <f t="shared" si="1"/>
        <v>9</v>
      </c>
    </row>
    <row r="80" spans="7:20">
      <c r="H80" t="s">
        <v>138</v>
      </c>
      <c r="L80" t="s">
        <v>557</v>
      </c>
      <c r="M80">
        <f t="shared" si="1"/>
        <v>7</v>
      </c>
      <c r="N80">
        <f t="shared" si="1"/>
        <v>0</v>
      </c>
      <c r="O80">
        <f t="shared" si="1"/>
        <v>0</v>
      </c>
    </row>
    <row r="81" spans="8:15">
      <c r="H81" t="s">
        <v>557</v>
      </c>
      <c r="L81" t="s">
        <v>559</v>
      </c>
      <c r="M81">
        <f t="shared" si="1"/>
        <v>5</v>
      </c>
      <c r="N81">
        <f t="shared" si="1"/>
        <v>0</v>
      </c>
      <c r="O81">
        <f t="shared" si="1"/>
        <v>0</v>
      </c>
    </row>
    <row r="82" spans="8:15">
      <c r="H82" t="s">
        <v>559</v>
      </c>
      <c r="L82" t="s">
        <v>565</v>
      </c>
      <c r="M82">
        <f t="shared" si="1"/>
        <v>0</v>
      </c>
      <c r="N82">
        <f t="shared" si="1"/>
        <v>19</v>
      </c>
      <c r="O82">
        <f t="shared" si="1"/>
        <v>0</v>
      </c>
    </row>
    <row r="83" spans="8:15">
      <c r="H83" t="s">
        <v>565</v>
      </c>
    </row>
    <row r="85" spans="8:15" ht="25.8">
      <c r="H85" s="20" t="s">
        <v>1962</v>
      </c>
    </row>
    <row r="87" spans="8:15" ht="18">
      <c r="H87" s="38" t="s">
        <v>1911</v>
      </c>
    </row>
    <row r="89" spans="8:15">
      <c r="H89" t="s">
        <v>1945</v>
      </c>
    </row>
    <row r="91" spans="8:15" ht="18">
      <c r="H91" s="38" t="s">
        <v>1913</v>
      </c>
    </row>
    <row r="92" spans="8:15">
      <c r="I92" t="s">
        <v>1963</v>
      </c>
    </row>
    <row r="93" spans="8:15" ht="18">
      <c r="H93" s="38"/>
    </row>
    <row r="94" spans="8:15" ht="18">
      <c r="H94" s="38" t="s">
        <v>1915</v>
      </c>
    </row>
    <row r="95" spans="8:15">
      <c r="H95" s="39"/>
    </row>
    <row r="96" spans="8:15">
      <c r="H96" s="47" t="s">
        <v>1947</v>
      </c>
    </row>
    <row r="97" spans="8:8">
      <c r="H97" s="39"/>
    </row>
    <row r="98" spans="8:8">
      <c r="H98" s="47" t="s">
        <v>1948</v>
      </c>
    </row>
    <row r="99" spans="8:8">
      <c r="H99" s="39"/>
    </row>
    <row r="100" spans="8:8">
      <c r="H100" s="47" t="s">
        <v>1949</v>
      </c>
    </row>
    <row r="101" spans="8:8">
      <c r="H101" s="39"/>
    </row>
    <row r="102" spans="8:8">
      <c r="H102" s="47" t="s">
        <v>1950</v>
      </c>
    </row>
    <row r="106" spans="8:8" ht="18">
      <c r="H106" s="38" t="s">
        <v>1919</v>
      </c>
    </row>
    <row r="107" spans="8:8">
      <c r="H107" s="39"/>
    </row>
    <row r="108" spans="8:8">
      <c r="H108" s="39" t="s">
        <v>1951</v>
      </c>
    </row>
    <row r="109" spans="8:8">
      <c r="H109" s="39"/>
    </row>
    <row r="110" spans="8:8">
      <c r="H110" s="39" t="s">
        <v>1952</v>
      </c>
    </row>
    <row r="111" spans="8:8">
      <c r="H111" s="39"/>
    </row>
    <row r="112" spans="8:8">
      <c r="H112" s="39" t="s">
        <v>1953</v>
      </c>
    </row>
    <row r="113" spans="1:10">
      <c r="H113" s="39"/>
    </row>
    <row r="114" spans="1:10">
      <c r="H114" s="39"/>
    </row>
    <row r="115" spans="1:10">
      <c r="H115" s="46"/>
    </row>
    <row r="116" spans="1:10">
      <c r="H116" s="48" t="s">
        <v>1954</v>
      </c>
    </row>
    <row r="117" spans="1:10">
      <c r="H117" s="46"/>
    </row>
    <row r="118" spans="1:10">
      <c r="H118" s="48" t="s">
        <v>1955</v>
      </c>
    </row>
    <row r="119" spans="1:10">
      <c r="H119" s="46"/>
    </row>
    <row r="120" spans="1:10">
      <c r="H120" s="48" t="s">
        <v>1956</v>
      </c>
    </row>
    <row r="121" spans="1:10">
      <c r="H121" s="39"/>
    </row>
    <row r="122" spans="1:10">
      <c r="H122" s="39" t="s">
        <v>1957</v>
      </c>
    </row>
    <row r="126" spans="1:10" ht="18">
      <c r="A126" s="38" t="s">
        <v>1972</v>
      </c>
      <c r="J126" s="13"/>
    </row>
    <row r="127" spans="1:10">
      <c r="A127" s="39"/>
    </row>
    <row r="128" spans="1:10">
      <c r="A128" s="40" t="s">
        <v>1973</v>
      </c>
      <c r="I128" s="24"/>
    </row>
    <row r="129" spans="1:1">
      <c r="A129" s="39"/>
    </row>
    <row r="130" spans="1:1">
      <c r="A130" s="40" t="s">
        <v>1974</v>
      </c>
    </row>
    <row r="131" spans="1:1">
      <c r="A131" s="50" t="e" cm="1">
        <f t="array" ref="A131">SUMIF(range, _xlnm.Criteria, sum_range)</f>
        <v>#NAME?</v>
      </c>
    </row>
    <row r="132" spans="1:1">
      <c r="A132" s="39" t="s">
        <v>1975</v>
      </c>
    </row>
    <row r="136" spans="1:1" ht="18">
      <c r="A136" s="38" t="s">
        <v>1976</v>
      </c>
    </row>
    <row r="137" spans="1:1">
      <c r="A137" s="39"/>
    </row>
    <row r="138" spans="1:1">
      <c r="A138" s="40" t="s">
        <v>1977</v>
      </c>
    </row>
    <row r="139" spans="1:1">
      <c r="A139" s="39"/>
    </row>
    <row r="140" spans="1:1">
      <c r="A140" s="40" t="s">
        <v>1974</v>
      </c>
    </row>
    <row r="141" spans="1:1">
      <c r="A141" s="50" t="s">
        <v>1978</v>
      </c>
    </row>
    <row r="142" spans="1:1">
      <c r="A142" s="39" t="s">
        <v>1979</v>
      </c>
    </row>
    <row r="146" spans="1:1" ht="18">
      <c r="A146" s="38" t="s">
        <v>1980</v>
      </c>
    </row>
    <row r="147" spans="1:1">
      <c r="A147" s="39"/>
    </row>
    <row r="148" spans="1:1">
      <c r="A148" s="40" t="s">
        <v>1981</v>
      </c>
    </row>
    <row r="149" spans="1:1">
      <c r="A149" s="39"/>
    </row>
    <row r="150" spans="1:1">
      <c r="A150" s="40" t="s">
        <v>1974</v>
      </c>
    </row>
    <row r="151" spans="1:1">
      <c r="A151" s="50" t="e" cm="1">
        <f t="array" ref="A151">COUNTIF(range, _xlnm.Criteria)</f>
        <v>#NAME?</v>
      </c>
    </row>
    <row r="152" spans="1:1">
      <c r="A152" s="39" t="s">
        <v>1982</v>
      </c>
    </row>
    <row r="156" spans="1:1" ht="18">
      <c r="A156" s="38" t="s">
        <v>1983</v>
      </c>
    </row>
    <row r="157" spans="1:1">
      <c r="A157" s="39"/>
    </row>
    <row r="158" spans="1:1">
      <c r="A158" s="40" t="s">
        <v>1984</v>
      </c>
    </row>
    <row r="159" spans="1:1">
      <c r="A159" s="39"/>
    </row>
    <row r="160" spans="1:1">
      <c r="A160" s="40" t="s">
        <v>1974</v>
      </c>
    </row>
    <row r="161" spans="1:1">
      <c r="A161" s="50" t="s">
        <v>1985</v>
      </c>
    </row>
    <row r="162" spans="1:1">
      <c r="A162" s="39" t="s">
        <v>1986</v>
      </c>
    </row>
    <row r="166" spans="1:1" ht="18">
      <c r="A166" s="38" t="s">
        <v>1987</v>
      </c>
    </row>
    <row r="167" spans="1:1">
      <c r="A167" s="39"/>
    </row>
    <row r="168" spans="1:1">
      <c r="A168" s="40" t="s">
        <v>1988</v>
      </c>
    </row>
    <row r="169" spans="1:1">
      <c r="A169" s="39"/>
    </row>
    <row r="170" spans="1:1">
      <c r="A170" s="40" t="s">
        <v>1974</v>
      </c>
    </row>
    <row r="171" spans="1:1">
      <c r="A171" s="50" t="e" cm="1">
        <f t="array" ref="A171">AVERAGEIF(range, _xlnm.Criteria, average_range)</f>
        <v>#NAME?</v>
      </c>
    </row>
    <row r="172" spans="1:1">
      <c r="A172" s="39" t="s">
        <v>1989</v>
      </c>
    </row>
    <row r="176" spans="1:1" ht="18">
      <c r="A176" s="38" t="s">
        <v>1990</v>
      </c>
    </row>
    <row r="177" spans="1:1">
      <c r="A177" s="39"/>
    </row>
    <row r="178" spans="1:1">
      <c r="A178" s="40" t="s">
        <v>1991</v>
      </c>
    </row>
    <row r="179" spans="1:1">
      <c r="A179" s="39"/>
    </row>
    <row r="180" spans="1:1">
      <c r="A180" s="40" t="s">
        <v>1974</v>
      </c>
    </row>
    <row r="181" spans="1:1">
      <c r="A181" s="50" t="s">
        <v>1992</v>
      </c>
    </row>
    <row r="182" spans="1:1">
      <c r="A182" s="39" t="s">
        <v>1993</v>
      </c>
    </row>
    <row r="186" spans="1:1" ht="18">
      <c r="A186" s="38" t="s">
        <v>1994</v>
      </c>
    </row>
    <row r="187" spans="1:1">
      <c r="A187" s="39"/>
    </row>
    <row r="188" spans="1:1">
      <c r="A188" s="40" t="s">
        <v>1995</v>
      </c>
    </row>
    <row r="189" spans="1:1">
      <c r="A189" s="39"/>
    </row>
    <row r="190" spans="1:1">
      <c r="A190" s="40" t="s">
        <v>1974</v>
      </c>
    </row>
    <row r="191" spans="1:1">
      <c r="A191" s="50" t="s">
        <v>1996</v>
      </c>
    </row>
    <row r="195" spans="1:1" ht="18">
      <c r="A195" s="38" t="s">
        <v>1997</v>
      </c>
    </row>
    <row r="196" spans="1:1">
      <c r="A196" s="39"/>
    </row>
    <row r="197" spans="1:1">
      <c r="A197" s="40" t="s">
        <v>1998</v>
      </c>
    </row>
    <row r="198" spans="1:1">
      <c r="A198" s="39"/>
    </row>
    <row r="199" spans="1:1">
      <c r="A199" s="40" t="s">
        <v>1974</v>
      </c>
    </row>
    <row r="200" spans="1:1">
      <c r="A200" s="50" t="s">
        <v>1999</v>
      </c>
    </row>
    <row r="201" spans="1:1">
      <c r="A201" s="39" t="s">
        <v>2000</v>
      </c>
    </row>
    <row r="205" spans="1:1" ht="18">
      <c r="A205" s="38" t="s">
        <v>2001</v>
      </c>
    </row>
    <row r="206" spans="1:1">
      <c r="A206" s="39"/>
    </row>
    <row r="207" spans="1:1">
      <c r="A207" s="40" t="s">
        <v>2002</v>
      </c>
    </row>
    <row r="208" spans="1:1">
      <c r="A208" s="39"/>
    </row>
    <row r="209" spans="1:1">
      <c r="A209" s="40" t="s">
        <v>1974</v>
      </c>
    </row>
    <row r="210" spans="1:1">
      <c r="A210" s="50" t="s">
        <v>2003</v>
      </c>
    </row>
    <row r="214" spans="1:1" ht="18">
      <c r="A214" s="38" t="s">
        <v>2004</v>
      </c>
    </row>
    <row r="215" spans="1:1">
      <c r="A215" s="39"/>
    </row>
    <row r="216" spans="1:1">
      <c r="A216" s="40" t="s">
        <v>2005</v>
      </c>
    </row>
    <row r="217" spans="1:1">
      <c r="A217" s="39"/>
    </row>
    <row r="218" spans="1:1">
      <c r="A218" s="40" t="s">
        <v>1974</v>
      </c>
    </row>
    <row r="219" spans="1:1">
      <c r="A219" s="50" t="s">
        <v>2006</v>
      </c>
    </row>
    <row r="220" spans="1:1">
      <c r="A220" s="39" t="s">
        <v>2007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734DF-C66F-49BD-87C3-35760AC13409}">
  <sheetPr codeName="Sheet21"/>
  <dimension ref="A1:M65"/>
  <sheetViews>
    <sheetView workbookViewId="0">
      <selection sqref="A1:F6"/>
    </sheetView>
  </sheetViews>
  <sheetFormatPr defaultRowHeight="14.4"/>
  <cols>
    <col min="2" max="2" width="13.44140625" customWidth="1"/>
    <col min="3" max="3" width="18.33203125" customWidth="1"/>
    <col min="4" max="4" width="13.44140625" customWidth="1"/>
    <col min="5" max="5" width="18.109375" customWidth="1"/>
    <col min="6" max="6" width="13.21875" customWidth="1"/>
    <col min="9" max="9" width="10.33203125" bestFit="1" customWidth="1"/>
    <col min="11" max="11" width="10.33203125" bestFit="1" customWidth="1"/>
  </cols>
  <sheetData>
    <row r="1" spans="1:13">
      <c r="A1" t="s">
        <v>1964</v>
      </c>
      <c r="B1" t="s">
        <v>1965</v>
      </c>
      <c r="C1" t="s">
        <v>2009</v>
      </c>
      <c r="D1" t="s">
        <v>1966</v>
      </c>
      <c r="E1" t="s">
        <v>2008</v>
      </c>
      <c r="F1" t="s">
        <v>2010</v>
      </c>
    </row>
    <row r="2" spans="1:13">
      <c r="A2" t="s">
        <v>1967</v>
      </c>
      <c r="B2" s="52">
        <v>45292</v>
      </c>
      <c r="C2" s="28">
        <f>DATE(YEAR(B2),MONTH(B2),DAY(B2))</f>
        <v>45292</v>
      </c>
      <c r="D2" s="52">
        <v>45382</v>
      </c>
      <c r="E2" s="28">
        <f>DATE(YEAR(D2),MONTH(D2),DAY(D2))</f>
        <v>45382</v>
      </c>
      <c r="F2">
        <f>E2-C2</f>
        <v>90</v>
      </c>
      <c r="M2" s="52"/>
    </row>
    <row r="3" spans="1:13">
      <c r="A3" t="s">
        <v>1968</v>
      </c>
      <c r="B3" s="52">
        <v>45293</v>
      </c>
      <c r="C3" s="28">
        <f t="shared" ref="C3:C6" si="0">DATE(YEAR(B3),MONTH(B3),DAY(B3))</f>
        <v>45293</v>
      </c>
      <c r="D3" s="52">
        <v>45412</v>
      </c>
      <c r="E3" s="28">
        <f t="shared" ref="E3:E6" si="1">DATE(YEAR(D3),MONTH(D3),DAY(D3))</f>
        <v>45412</v>
      </c>
      <c r="F3">
        <f t="shared" ref="F3:F6" si="2">E3-C3</f>
        <v>119</v>
      </c>
    </row>
    <row r="4" spans="1:13">
      <c r="A4" t="s">
        <v>1969</v>
      </c>
      <c r="B4" s="52">
        <v>45294</v>
      </c>
      <c r="C4" s="28">
        <f t="shared" si="0"/>
        <v>45294</v>
      </c>
      <c r="D4" s="52">
        <v>45397</v>
      </c>
      <c r="E4" s="28">
        <f t="shared" si="1"/>
        <v>45397</v>
      </c>
      <c r="F4">
        <f t="shared" si="2"/>
        <v>103</v>
      </c>
      <c r="G4" s="51"/>
    </row>
    <row r="5" spans="1:13">
      <c r="A5" t="s">
        <v>1970</v>
      </c>
      <c r="B5" s="52">
        <v>45295</v>
      </c>
      <c r="C5" s="28">
        <f t="shared" si="0"/>
        <v>45295</v>
      </c>
      <c r="D5" s="52">
        <v>45407</v>
      </c>
      <c r="E5" s="28">
        <f t="shared" si="1"/>
        <v>45407</v>
      </c>
      <c r="F5">
        <f t="shared" si="2"/>
        <v>112</v>
      </c>
    </row>
    <row r="6" spans="1:13">
      <c r="A6" t="s">
        <v>1971</v>
      </c>
      <c r="B6" s="52">
        <v>45296</v>
      </c>
      <c r="C6" s="28">
        <f t="shared" si="0"/>
        <v>45296</v>
      </c>
      <c r="D6" s="52">
        <v>45392</v>
      </c>
      <c r="E6" s="28">
        <f t="shared" si="1"/>
        <v>45392</v>
      </c>
      <c r="F6">
        <f t="shared" si="2"/>
        <v>96</v>
      </c>
    </row>
    <row r="8" spans="1:13" ht="18">
      <c r="C8" s="13" t="s">
        <v>2011</v>
      </c>
      <c r="G8" s="51"/>
      <c r="K8" s="28"/>
    </row>
    <row r="9" spans="1:13" ht="18">
      <c r="B9" s="38" t="s">
        <v>2012</v>
      </c>
    </row>
    <row r="10" spans="1:13">
      <c r="B10" s="5"/>
    </row>
    <row r="11" spans="1:13">
      <c r="B11" s="53" t="s">
        <v>2032</v>
      </c>
      <c r="F11" t="s">
        <v>2037</v>
      </c>
      <c r="I11" s="28"/>
    </row>
    <row r="12" spans="1:13">
      <c r="B12" s="41"/>
    </row>
    <row r="13" spans="1:13" ht="18">
      <c r="B13" s="38" t="s">
        <v>2013</v>
      </c>
    </row>
    <row r="14" spans="1:13">
      <c r="B14" t="s">
        <v>2014</v>
      </c>
    </row>
    <row r="15" spans="1:13" ht="18">
      <c r="B15" s="38"/>
    </row>
    <row r="16" spans="1:13" ht="18">
      <c r="B16" s="38" t="s">
        <v>2015</v>
      </c>
    </row>
    <row r="17" spans="2:9" ht="25.8">
      <c r="B17" s="47" t="s">
        <v>2016</v>
      </c>
      <c r="H17" s="20" t="s">
        <v>2033</v>
      </c>
    </row>
    <row r="18" spans="2:9">
      <c r="B18" s="46" t="s">
        <v>2017</v>
      </c>
    </row>
    <row r="19" spans="2:9">
      <c r="B19" s="46"/>
      <c r="H19" t="s">
        <v>2034</v>
      </c>
    </row>
    <row r="20" spans="2:9">
      <c r="B20" s="46" t="s">
        <v>2018</v>
      </c>
      <c r="H20" t="s">
        <v>2035</v>
      </c>
    </row>
    <row r="21" spans="2:9">
      <c r="B21" s="39"/>
      <c r="I21" t="s">
        <v>2036</v>
      </c>
    </row>
    <row r="22" spans="2:9">
      <c r="B22" s="47" t="s">
        <v>2019</v>
      </c>
    </row>
    <row r="23" spans="2:9">
      <c r="B23" s="39"/>
    </row>
    <row r="24" spans="2:9">
      <c r="B24" s="39"/>
    </row>
    <row r="25" spans="2:9">
      <c r="B25" s="46"/>
    </row>
    <row r="26" spans="2:9">
      <c r="B26" s="46" t="s">
        <v>2020</v>
      </c>
    </row>
    <row r="27" spans="2:9">
      <c r="B27" s="46"/>
    </row>
    <row r="28" spans="2:9">
      <c r="B28" s="46" t="s">
        <v>2021</v>
      </c>
    </row>
    <row r="29" spans="2:9">
      <c r="B29" s="39"/>
    </row>
    <row r="30" spans="2:9">
      <c r="B30" s="47" t="s">
        <v>2022</v>
      </c>
    </row>
    <row r="31" spans="2:9">
      <c r="B31" s="39"/>
    </row>
    <row r="32" spans="2:9">
      <c r="B32" s="39"/>
    </row>
    <row r="33" spans="2:2">
      <c r="B33" s="46"/>
    </row>
    <row r="34" spans="2:2">
      <c r="B34" s="46" t="s">
        <v>2023</v>
      </c>
    </row>
    <row r="35" spans="2:2">
      <c r="B35" s="46"/>
    </row>
    <row r="36" spans="2:2">
      <c r="B36" s="46" t="s">
        <v>2024</v>
      </c>
    </row>
    <row r="37" spans="2:2">
      <c r="B37" s="39"/>
    </row>
    <row r="38" spans="2:2">
      <c r="B38" s="47" t="s">
        <v>2025</v>
      </c>
    </row>
    <row r="39" spans="2:2">
      <c r="B39" s="39"/>
    </row>
    <row r="40" spans="2:2">
      <c r="B40" s="39"/>
    </row>
    <row r="41" spans="2:2">
      <c r="B41" s="46"/>
    </row>
    <row r="42" spans="2:2">
      <c r="B42" s="46" t="s">
        <v>2026</v>
      </c>
    </row>
    <row r="43" spans="2:2">
      <c r="B43" s="46"/>
    </row>
    <row r="44" spans="2:2">
      <c r="B44" s="46" t="s">
        <v>2027</v>
      </c>
    </row>
    <row r="48" spans="2:2" ht="18">
      <c r="B48" s="38" t="s">
        <v>2028</v>
      </c>
    </row>
    <row r="49" spans="2:2">
      <c r="B49" s="39"/>
    </row>
    <row r="50" spans="2:2">
      <c r="B50" s="39" t="s">
        <v>2029</v>
      </c>
    </row>
    <row r="51" spans="2:2">
      <c r="B51" s="39"/>
    </row>
    <row r="52" spans="2:2">
      <c r="B52" s="39" t="s">
        <v>2030</v>
      </c>
    </row>
    <row r="53" spans="2:2">
      <c r="B53" s="39"/>
    </row>
    <row r="54" spans="2:2">
      <c r="B54" s="39" t="s">
        <v>2031</v>
      </c>
    </row>
    <row r="59" spans="2:2" ht="18">
      <c r="B59" s="38"/>
    </row>
    <row r="60" spans="2:2">
      <c r="B60" s="39"/>
    </row>
    <row r="61" spans="2:2">
      <c r="B61" s="39"/>
    </row>
    <row r="62" spans="2:2">
      <c r="B62" s="39"/>
    </row>
    <row r="63" spans="2:2">
      <c r="B63" s="39"/>
    </row>
    <row r="64" spans="2:2">
      <c r="B64" s="39"/>
    </row>
    <row r="65" spans="2:2">
      <c r="B65" s="3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A3F4-42B8-4F73-8D79-D1A6886D6D1C}">
  <sheetPr codeName="Sheet22"/>
  <dimension ref="A1:H90"/>
  <sheetViews>
    <sheetView workbookViewId="0">
      <selection activeCell="E2" sqref="E2"/>
    </sheetView>
  </sheetViews>
  <sheetFormatPr defaultRowHeight="14.4"/>
  <cols>
    <col min="2" max="2" width="15.6640625" customWidth="1"/>
    <col min="3" max="3" width="12" customWidth="1"/>
    <col min="4" max="4" width="10.77734375" bestFit="1" customWidth="1"/>
    <col min="5" max="5" width="24.33203125" customWidth="1"/>
    <col min="6" max="6" width="22" customWidth="1"/>
    <col min="7" max="7" width="20.77734375" customWidth="1"/>
    <col min="8" max="8" width="42.109375" customWidth="1"/>
    <col min="14" max="14" width="8.88671875" customWidth="1"/>
  </cols>
  <sheetData>
    <row r="1" spans="1:8">
      <c r="A1" t="s">
        <v>0</v>
      </c>
      <c r="B1" t="s">
        <v>2038</v>
      </c>
      <c r="C1" t="s">
        <v>2039</v>
      </c>
      <c r="D1" t="s">
        <v>2040</v>
      </c>
      <c r="E1" t="s">
        <v>2046</v>
      </c>
      <c r="F1" t="s">
        <v>2047</v>
      </c>
      <c r="G1" t="s">
        <v>2048</v>
      </c>
      <c r="H1" t="s">
        <v>2049</v>
      </c>
    </row>
    <row r="2" spans="1:8">
      <c r="A2">
        <v>101</v>
      </c>
      <c r="B2" t="s">
        <v>2041</v>
      </c>
      <c r="C2" s="52">
        <v>43845</v>
      </c>
      <c r="D2" s="52">
        <v>33066</v>
      </c>
      <c r="E2" t="str">
        <f ca="1">DATEDIF(D2, TODAY(), "Y") &amp; " Years " &amp; DATEDIF(D2, TODAY(), "YM") &amp; " Months " &amp; DATEDIF(D2, TODAY(), "MD") &amp; " Days"</f>
        <v>35 Years 11 Months 7 Days</v>
      </c>
      <c r="F2" t="str">
        <f ca="1">DATEDIF(D2,TODAY(),"M")&amp;"Months"</f>
        <v>431Months</v>
      </c>
      <c r="G2" t="str">
        <f ca="1">DATEDIF(D2,TODAY(),"D")&amp;"Days"</f>
        <v>13126Days</v>
      </c>
      <c r="H2" t="str">
        <f ca="1">DATEDIF(C2, TODAY(), "Y") &amp; " Years " &amp; DATEDIF(C2, TODAY(), "YM") &amp; " Months " &amp; DATEDIF(C2, TODAY(), "MD") &amp; " Days"</f>
        <v>6 Years 5 Months 4 Days</v>
      </c>
    </row>
    <row r="3" spans="1:8">
      <c r="A3">
        <v>102</v>
      </c>
      <c r="B3" t="s">
        <v>2042</v>
      </c>
      <c r="C3" s="52">
        <v>43617</v>
      </c>
      <c r="D3" s="52">
        <v>31374</v>
      </c>
      <c r="E3" t="str">
        <f t="shared" ref="E3:E6" ca="1" si="0">DATEDIF(D3, TODAY(), "Y") &amp; " Years " &amp; DATEDIF(D3, TODAY(), "YM") &amp; " Months " &amp; DATEDIF(D3, TODAY(), "MD") &amp; " Days"</f>
        <v>40 Years 6 Months 27 Days</v>
      </c>
      <c r="F3" t="str">
        <f t="shared" ref="F3:F6" ca="1" si="1">DATEDIF(D3,TODAY(),"M")&amp;"Months"</f>
        <v>486Months</v>
      </c>
      <c r="G3" t="str">
        <f t="shared" ref="G3:G6" ca="1" si="2">DATEDIF(D3,TODAY(),"D")&amp;"Days"</f>
        <v>14818Days</v>
      </c>
      <c r="H3" t="str">
        <f t="shared" ref="H3:H6" ca="1" si="3">DATEDIF(C3, TODAY(), "Y") &amp; " Years " &amp; DATEDIF(C3, TODAY(), "YM") &amp; " Months " &amp; DATEDIF(C3, TODAY(), "MD") &amp; " Days"</f>
        <v>7 Years 0 Months 18 Days</v>
      </c>
    </row>
    <row r="4" spans="1:8">
      <c r="A4">
        <v>103</v>
      </c>
      <c r="B4" t="s">
        <v>2043</v>
      </c>
      <c r="C4" s="52">
        <v>44459</v>
      </c>
      <c r="D4" s="52">
        <v>33738</v>
      </c>
      <c r="E4" t="str">
        <f t="shared" ca="1" si="0"/>
        <v>34 Years 1 Months 5 Days</v>
      </c>
      <c r="F4" t="str">
        <f t="shared" ca="1" si="1"/>
        <v>409Months</v>
      </c>
      <c r="G4" t="str">
        <f t="shared" ca="1" si="2"/>
        <v>12454Days</v>
      </c>
      <c r="H4" t="str">
        <f t="shared" ca="1" si="3"/>
        <v>4 Years 8 Months 30 Days</v>
      </c>
    </row>
    <row r="5" spans="1:8">
      <c r="A5">
        <v>104</v>
      </c>
      <c r="B5" t="s">
        <v>2044</v>
      </c>
      <c r="C5" s="52">
        <v>44140</v>
      </c>
      <c r="D5" s="52">
        <v>34972</v>
      </c>
      <c r="E5" t="str">
        <f t="shared" ca="1" si="0"/>
        <v>30 Years 8 Months 20 Days</v>
      </c>
      <c r="F5" t="str">
        <f t="shared" ca="1" si="1"/>
        <v>368Months</v>
      </c>
      <c r="G5" t="str">
        <f t="shared" ca="1" si="2"/>
        <v>11220Days</v>
      </c>
      <c r="H5" t="str">
        <f t="shared" ca="1" si="3"/>
        <v>5 Years 7 Months 14 Days</v>
      </c>
    </row>
    <row r="6" spans="1:8">
      <c r="A6">
        <v>105</v>
      </c>
      <c r="B6" t="s">
        <v>2045</v>
      </c>
      <c r="C6" s="52">
        <v>43181</v>
      </c>
      <c r="D6" s="52">
        <v>32191</v>
      </c>
      <c r="E6" t="str">
        <f t="shared" ca="1" si="0"/>
        <v>38 Years 4 Months 1 Days</v>
      </c>
      <c r="F6" t="str">
        <f t="shared" ca="1" si="1"/>
        <v>460Months</v>
      </c>
      <c r="G6" t="str">
        <f t="shared" ca="1" si="2"/>
        <v>14001Days</v>
      </c>
      <c r="H6" t="str">
        <f t="shared" ca="1" si="3"/>
        <v>8 Years 2 Months 28 Days</v>
      </c>
    </row>
    <row r="12" spans="1:8">
      <c r="G12" t="s">
        <v>2049</v>
      </c>
    </row>
    <row r="13" spans="1:8">
      <c r="G13" s="28" t="s">
        <v>2072</v>
      </c>
    </row>
    <row r="14" spans="1:8">
      <c r="B14" s="24" t="s">
        <v>2050</v>
      </c>
      <c r="G14" t="s">
        <v>2073</v>
      </c>
    </row>
    <row r="16" spans="1:8">
      <c r="B16" t="s">
        <v>2051</v>
      </c>
    </row>
    <row r="17" spans="2:2">
      <c r="B17" s="39"/>
    </row>
    <row r="18" spans="2:2">
      <c r="B18" s="40" t="s">
        <v>2052</v>
      </c>
    </row>
    <row r="19" spans="2:2">
      <c r="B19" s="39"/>
    </row>
    <row r="20" spans="2:2">
      <c r="B20" s="40" t="s">
        <v>2053</v>
      </c>
    </row>
    <row r="21" spans="2:2">
      <c r="B21" s="39"/>
    </row>
    <row r="22" spans="2:2">
      <c r="B22" s="40" t="s">
        <v>2054</v>
      </c>
    </row>
    <row r="26" spans="2:2" ht="18">
      <c r="B26" s="38" t="s">
        <v>2055</v>
      </c>
    </row>
    <row r="28" spans="2:2">
      <c r="B28" s="24" t="s">
        <v>2056</v>
      </c>
    </row>
    <row r="29" spans="2:2">
      <c r="B29" s="5"/>
    </row>
    <row r="30" spans="2:2">
      <c r="B30" s="41"/>
    </row>
    <row r="31" spans="2:2">
      <c r="B31" s="41"/>
    </row>
    <row r="32" spans="2:2">
      <c r="B32" s="41" t="str">
        <f ca="1">DATEDIF(D2, TODAY(), "Y") &amp; " Years " &amp; DATEDIF(D2, TODAY(), "YM") &amp; " Months " &amp; DATEDIF(D2, TODAY(), "MD") &amp; " Days"</f>
        <v>35 Years 11 Months 7 Days</v>
      </c>
    </row>
    <row r="34" spans="2:2">
      <c r="B34" s="24" t="s">
        <v>1915</v>
      </c>
    </row>
    <row r="35" spans="2:2">
      <c r="B35" s="39"/>
    </row>
    <row r="36" spans="2:2">
      <c r="B36" s="50" t="s">
        <v>2057</v>
      </c>
    </row>
    <row r="37" spans="2:2">
      <c r="B37" s="39"/>
    </row>
    <row r="38" spans="2:2">
      <c r="B38" s="50" t="s">
        <v>2058</v>
      </c>
    </row>
    <row r="39" spans="2:2">
      <c r="B39" s="39"/>
    </row>
    <row r="40" spans="2:2">
      <c r="B40" s="50" t="s">
        <v>2059</v>
      </c>
    </row>
    <row r="41" spans="2:2">
      <c r="B41" s="39"/>
    </row>
    <row r="42" spans="2:2">
      <c r="B42" s="50" t="s">
        <v>2060</v>
      </c>
    </row>
    <row r="46" spans="2:2" ht="18">
      <c r="B46" s="38" t="s">
        <v>2061</v>
      </c>
    </row>
    <row r="48" spans="2:2">
      <c r="B48" s="24" t="s">
        <v>2056</v>
      </c>
    </row>
    <row r="49" spans="2:2">
      <c r="B49" s="5"/>
    </row>
    <row r="50" spans="2:2">
      <c r="B50" s="41"/>
    </row>
    <row r="51" spans="2:2">
      <c r="B51" s="41"/>
    </row>
    <row r="52" spans="2:2">
      <c r="B52" s="41">
        <f ca="1">DATEDIF(D2, TODAY(), "M")</f>
        <v>431</v>
      </c>
    </row>
    <row r="53" spans="2:2">
      <c r="B53" s="39"/>
    </row>
    <row r="54" spans="2:2">
      <c r="B54" s="39" t="s">
        <v>2062</v>
      </c>
    </row>
    <row r="58" spans="2:2" ht="18">
      <c r="B58" s="38" t="s">
        <v>2063</v>
      </c>
    </row>
    <row r="60" spans="2:2">
      <c r="B60" s="24" t="s">
        <v>2056</v>
      </c>
    </row>
    <row r="61" spans="2:2">
      <c r="B61" s="5"/>
    </row>
    <row r="62" spans="2:2">
      <c r="B62" s="41"/>
    </row>
    <row r="63" spans="2:2">
      <c r="B63" s="41"/>
    </row>
    <row r="64" spans="2:2">
      <c r="B64" s="41">
        <f ca="1">DATEDIF(D2, TODAY(), "D")</f>
        <v>13126</v>
      </c>
    </row>
    <row r="65" spans="2:2">
      <c r="B65" s="39"/>
    </row>
    <row r="66" spans="2:2">
      <c r="B66" s="39" t="s">
        <v>2064</v>
      </c>
    </row>
    <row r="70" spans="2:2" ht="18">
      <c r="B70" s="38" t="s">
        <v>2065</v>
      </c>
    </row>
    <row r="72" spans="2:2">
      <c r="B72" s="24" t="s">
        <v>2056</v>
      </c>
    </row>
    <row r="73" spans="2:2">
      <c r="B73" s="5"/>
    </row>
    <row r="74" spans="2:2">
      <c r="B74" s="41"/>
    </row>
    <row r="75" spans="2:2">
      <c r="B75" s="41"/>
    </row>
    <row r="76" spans="2:2">
      <c r="B76" s="41" t="str">
        <f ca="1">DATEDIF(C2, TODAY(), "Y") &amp; " Years " &amp; DATEDIF(C2, TODAY(), "YM") &amp; " Months " &amp; DATEDIF(C2, TODAY(), "MD") &amp; " Days"</f>
        <v>6 Years 5 Months 4 Days</v>
      </c>
    </row>
    <row r="77" spans="2:2">
      <c r="B77" s="39"/>
    </row>
    <row r="78" spans="2:2">
      <c r="B78" s="39" t="s">
        <v>2066</v>
      </c>
    </row>
    <row r="79" spans="2:2">
      <c r="B79" s="39"/>
    </row>
    <row r="80" spans="2:2">
      <c r="B80" s="39" t="s">
        <v>2067</v>
      </c>
    </row>
    <row r="84" spans="2:2">
      <c r="B84" s="24" t="s">
        <v>2068</v>
      </c>
    </row>
    <row r="85" spans="2:2">
      <c r="B85" s="39"/>
    </row>
    <row r="86" spans="2:2">
      <c r="B86" s="39" t="s">
        <v>2069</v>
      </c>
    </row>
    <row r="87" spans="2:2">
      <c r="B87" s="39"/>
    </row>
    <row r="88" spans="2:2">
      <c r="B88" s="39" t="s">
        <v>2070</v>
      </c>
    </row>
    <row r="89" spans="2:2">
      <c r="B89" s="39"/>
    </row>
    <row r="90" spans="2:2">
      <c r="B90" s="39" t="s">
        <v>2071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10DEA-9283-4904-A4E6-2D048DBCD434}">
  <sheetPr codeName="Sheet23"/>
  <dimension ref="A1:N71"/>
  <sheetViews>
    <sheetView topLeftCell="A26" zoomScaleNormal="100" workbookViewId="0">
      <selection activeCell="K78" sqref="K78"/>
    </sheetView>
  </sheetViews>
  <sheetFormatPr defaultRowHeight="14.4"/>
  <cols>
    <col min="1" max="1" width="10.33203125" customWidth="1"/>
    <col min="2" max="2" width="18.5546875" customWidth="1"/>
    <col min="10" max="10" width="13" customWidth="1"/>
    <col min="11" max="11" width="18.33203125" customWidth="1"/>
    <col min="12" max="12" width="12.44140625" customWidth="1"/>
    <col min="13" max="13" width="16.88671875" customWidth="1"/>
    <col min="14" max="14" width="12.21875" customWidth="1"/>
  </cols>
  <sheetData>
    <row r="1" spans="1:14" ht="18">
      <c r="A1" t="s">
        <v>2097</v>
      </c>
      <c r="K1" s="13" t="s">
        <v>2098</v>
      </c>
    </row>
    <row r="2" spans="1:14">
      <c r="A2" s="28">
        <f ca="1">TODAY()</f>
        <v>46192</v>
      </c>
      <c r="B2" t="str">
        <f ca="1">TEXT(A2,"DD-MMM-YYYY")</f>
        <v>19-Jun-2026</v>
      </c>
    </row>
    <row r="3" spans="1:14">
      <c r="A3" s="28">
        <f t="shared" ref="A3:A4" ca="1" si="0">TODAY()</f>
        <v>46192</v>
      </c>
      <c r="B3" t="str">
        <f ca="1">TEXT(A3,"DDD-MMMM-YYYY")</f>
        <v>Fri-June-2026</v>
      </c>
      <c r="I3" t="s">
        <v>1964</v>
      </c>
      <c r="J3" t="s">
        <v>1965</v>
      </c>
      <c r="K3" t="s">
        <v>2009</v>
      </c>
      <c r="L3" t="s">
        <v>1966</v>
      </c>
      <c r="M3" t="s">
        <v>2008</v>
      </c>
      <c r="N3" t="s">
        <v>2010</v>
      </c>
    </row>
    <row r="4" spans="1:14">
      <c r="A4" s="28">
        <f t="shared" ca="1" si="0"/>
        <v>46192</v>
      </c>
      <c r="B4" s="51" t="str">
        <f ca="1">TEXT(A4,"DDDD-MMMM-YYYY")</f>
        <v>Friday-June-2026</v>
      </c>
      <c r="I4" t="s">
        <v>1967</v>
      </c>
      <c r="J4" s="52">
        <v>45292</v>
      </c>
      <c r="K4" s="28">
        <f>DATE(YEAR(J4),MONTH(J4),DAY(J4))</f>
        <v>45292</v>
      </c>
      <c r="L4" s="52">
        <v>45382</v>
      </c>
      <c r="M4" s="28">
        <f>DATE(YEAR(L4),MONTH(L4),DAY(L4))</f>
        <v>45382</v>
      </c>
      <c r="N4">
        <f>M4-K4</f>
        <v>90</v>
      </c>
    </row>
    <row r="5" spans="1:14">
      <c r="I5" t="s">
        <v>1968</v>
      </c>
      <c r="J5" s="52">
        <v>45293</v>
      </c>
      <c r="K5" s="28">
        <f t="shared" ref="K5:K8" si="1">DATE(YEAR(J5),MONTH(J5),DAY(J5))</f>
        <v>45293</v>
      </c>
      <c r="L5" s="52">
        <v>45412</v>
      </c>
      <c r="M5" s="28">
        <f t="shared" ref="M5:M8" si="2">DATE(YEAR(L5),MONTH(L5),DAY(L5))</f>
        <v>45412</v>
      </c>
      <c r="N5">
        <f t="shared" ref="N5:N8" si="3">M5-K5</f>
        <v>119</v>
      </c>
    </row>
    <row r="6" spans="1:14" ht="18">
      <c r="B6" s="13" t="s">
        <v>2074</v>
      </c>
      <c r="I6" t="s">
        <v>1969</v>
      </c>
      <c r="J6" s="52">
        <v>45294</v>
      </c>
      <c r="K6" s="28">
        <f t="shared" si="1"/>
        <v>45294</v>
      </c>
      <c r="L6" s="52">
        <v>45397</v>
      </c>
      <c r="M6" s="28">
        <f t="shared" si="2"/>
        <v>45397</v>
      </c>
      <c r="N6">
        <f t="shared" si="3"/>
        <v>103</v>
      </c>
    </row>
    <row r="7" spans="1:14">
      <c r="I7" t="s">
        <v>1970</v>
      </c>
      <c r="J7" s="52">
        <v>45295</v>
      </c>
      <c r="K7" s="28">
        <f t="shared" si="1"/>
        <v>45295</v>
      </c>
      <c r="L7" s="52">
        <v>45407</v>
      </c>
      <c r="M7" s="28">
        <f t="shared" si="2"/>
        <v>45407</v>
      </c>
      <c r="N7">
        <f t="shared" si="3"/>
        <v>112</v>
      </c>
    </row>
    <row r="8" spans="1:14" ht="18">
      <c r="A8" s="38" t="s">
        <v>2075</v>
      </c>
      <c r="I8" t="s">
        <v>1971</v>
      </c>
      <c r="J8" s="52">
        <v>45296</v>
      </c>
      <c r="K8" s="28">
        <f t="shared" si="1"/>
        <v>45296</v>
      </c>
      <c r="L8" s="52">
        <v>45392</v>
      </c>
      <c r="M8" s="28">
        <f t="shared" si="2"/>
        <v>45392</v>
      </c>
      <c r="N8">
        <f t="shared" si="3"/>
        <v>96</v>
      </c>
    </row>
    <row r="10" spans="1:14">
      <c r="A10" s="54" t="s">
        <v>2096</v>
      </c>
    </row>
    <row r="11" spans="1:14">
      <c r="A11" s="24" t="s">
        <v>2076</v>
      </c>
      <c r="J11" t="s">
        <v>1965</v>
      </c>
      <c r="K11" t="s">
        <v>2099</v>
      </c>
      <c r="L11" t="s">
        <v>2100</v>
      </c>
    </row>
    <row r="12" spans="1:14">
      <c r="A12" s="24" t="s">
        <v>2077</v>
      </c>
      <c r="J12" s="52">
        <v>45292</v>
      </c>
      <c r="K12" s="28">
        <f>EOMONTH(J12,2)</f>
        <v>45382</v>
      </c>
      <c r="L12" s="28">
        <f>EDATE(J12,2)</f>
        <v>45352</v>
      </c>
    </row>
    <row r="13" spans="1:14">
      <c r="A13" s="39"/>
      <c r="J13" s="52">
        <v>45306</v>
      </c>
      <c r="K13" s="28">
        <f t="shared" ref="K13:K16" si="4">EOMONTH(J13,2)</f>
        <v>45382</v>
      </c>
      <c r="L13" s="28">
        <f t="shared" ref="L13:L16" si="5">EDATE(J13,2)</f>
        <v>45366</v>
      </c>
    </row>
    <row r="14" spans="1:14">
      <c r="A14" s="40" t="s">
        <v>2078</v>
      </c>
      <c r="J14" s="52">
        <v>45294</v>
      </c>
      <c r="K14" s="28">
        <f t="shared" si="4"/>
        <v>45382</v>
      </c>
      <c r="L14" s="28">
        <f t="shared" si="5"/>
        <v>45354</v>
      </c>
    </row>
    <row r="15" spans="1:14">
      <c r="A15" s="39"/>
      <c r="J15" s="52">
        <v>45295</v>
      </c>
      <c r="K15" s="28">
        <f t="shared" si="4"/>
        <v>45382</v>
      </c>
      <c r="L15" s="28">
        <f t="shared" si="5"/>
        <v>45355</v>
      </c>
    </row>
    <row r="16" spans="1:14">
      <c r="A16" s="40" t="s">
        <v>2079</v>
      </c>
      <c r="J16" s="52">
        <v>45296</v>
      </c>
      <c r="K16" s="28">
        <f t="shared" si="4"/>
        <v>45382</v>
      </c>
      <c r="L16" s="28">
        <f t="shared" si="5"/>
        <v>45356</v>
      </c>
    </row>
    <row r="17" spans="1:11">
      <c r="A17" s="39"/>
      <c r="K17" s="28"/>
    </row>
    <row r="18" spans="1:11">
      <c r="A18" s="40" t="s">
        <v>2080</v>
      </c>
      <c r="K18" s="28"/>
    </row>
    <row r="19" spans="1:11" ht="18">
      <c r="A19" s="39"/>
      <c r="K19" s="55" t="s">
        <v>2101</v>
      </c>
    </row>
    <row r="20" spans="1:11">
      <c r="A20" s="40" t="s">
        <v>2081</v>
      </c>
      <c r="K20" s="28"/>
    </row>
    <row r="21" spans="1:11" ht="23.4">
      <c r="A21" s="39"/>
      <c r="I21" s="56" t="s">
        <v>2102</v>
      </c>
      <c r="K21" s="28"/>
    </row>
    <row r="22" spans="1:11">
      <c r="A22" s="40" t="s">
        <v>2082</v>
      </c>
    </row>
    <row r="23" spans="1:11">
      <c r="A23" s="40" t="s">
        <v>2083</v>
      </c>
      <c r="I23" s="24" t="s">
        <v>2056</v>
      </c>
    </row>
    <row r="24" spans="1:11">
      <c r="I24" s="5"/>
    </row>
    <row r="25" spans="1:11">
      <c r="I25" s="41" t="s">
        <v>2103</v>
      </c>
    </row>
    <row r="26" spans="1:11">
      <c r="I26" s="41"/>
    </row>
    <row r="27" spans="1:11" ht="18">
      <c r="A27" s="38" t="s">
        <v>2084</v>
      </c>
      <c r="I27" s="41" t="s">
        <v>2118</v>
      </c>
      <c r="K27" t="s">
        <v>2119</v>
      </c>
    </row>
    <row r="29" spans="1:11">
      <c r="A29" s="54" t="s">
        <v>2095</v>
      </c>
      <c r="I29" s="24" t="s">
        <v>2104</v>
      </c>
    </row>
    <row r="30" spans="1:11">
      <c r="A30" s="24" t="s">
        <v>2085</v>
      </c>
    </row>
    <row r="31" spans="1:11">
      <c r="A31" s="24" t="s">
        <v>2077</v>
      </c>
      <c r="I31" s="24" t="s">
        <v>2105</v>
      </c>
    </row>
    <row r="32" spans="1:11">
      <c r="A32" s="39"/>
      <c r="I32" s="39"/>
    </row>
    <row r="33" spans="1:9">
      <c r="A33" s="40" t="s">
        <v>2086</v>
      </c>
      <c r="I33" s="40" t="s">
        <v>2106</v>
      </c>
    </row>
    <row r="34" spans="1:9">
      <c r="A34" s="39"/>
      <c r="I34" s="39"/>
    </row>
    <row r="35" spans="1:9">
      <c r="A35" s="40" t="s">
        <v>2087</v>
      </c>
      <c r="I35" s="40" t="s">
        <v>2107</v>
      </c>
    </row>
    <row r="36" spans="1:9">
      <c r="A36" s="39"/>
      <c r="I36" s="39"/>
    </row>
    <row r="37" spans="1:9">
      <c r="A37" s="40" t="s">
        <v>2088</v>
      </c>
      <c r="I37" s="40" t="s">
        <v>2108</v>
      </c>
    </row>
    <row r="38" spans="1:9">
      <c r="A38" s="40" t="s">
        <v>2089</v>
      </c>
    </row>
    <row r="39" spans="1:9">
      <c r="I39" s="24" t="s">
        <v>2109</v>
      </c>
    </row>
    <row r="40" spans="1:9">
      <c r="I40" s="54" t="s">
        <v>2110</v>
      </c>
    </row>
    <row r="42" spans="1:9" ht="18">
      <c r="A42" s="38" t="s">
        <v>2090</v>
      </c>
    </row>
    <row r="44" spans="1:9" ht="23.4">
      <c r="A44" s="54" t="s">
        <v>2094</v>
      </c>
      <c r="I44" s="56" t="s">
        <v>2111</v>
      </c>
    </row>
    <row r="45" spans="1:9">
      <c r="A45" s="24" t="s">
        <v>2091</v>
      </c>
    </row>
    <row r="46" spans="1:9">
      <c r="A46" s="24" t="s">
        <v>2077</v>
      </c>
      <c r="I46" s="24" t="s">
        <v>2056</v>
      </c>
    </row>
    <row r="47" spans="1:9">
      <c r="A47" s="39"/>
      <c r="I47" s="5"/>
    </row>
    <row r="48" spans="1:9">
      <c r="A48" s="40" t="s">
        <v>2092</v>
      </c>
      <c r="I48" s="41"/>
    </row>
    <row r="49" spans="1:11">
      <c r="A49" s="39"/>
      <c r="I49" s="41"/>
    </row>
    <row r="50" spans="1:11">
      <c r="A50" s="40" t="s">
        <v>2087</v>
      </c>
      <c r="I50" s="41" t="s">
        <v>2120</v>
      </c>
      <c r="K50" t="s">
        <v>2119</v>
      </c>
    </row>
    <row r="51" spans="1:11">
      <c r="A51" s="39"/>
    </row>
    <row r="52" spans="1:11">
      <c r="A52" s="40" t="s">
        <v>2088</v>
      </c>
      <c r="I52" s="24" t="s">
        <v>2112</v>
      </c>
    </row>
    <row r="53" spans="1:11">
      <c r="A53" s="40" t="s">
        <v>2093</v>
      </c>
    </row>
    <row r="54" spans="1:11">
      <c r="I54" s="24" t="s">
        <v>2105</v>
      </c>
    </row>
    <row r="55" spans="1:11">
      <c r="I55" s="39"/>
    </row>
    <row r="56" spans="1:11">
      <c r="I56" s="40" t="s">
        <v>2113</v>
      </c>
    </row>
    <row r="57" spans="1:11">
      <c r="I57" s="39"/>
    </row>
    <row r="58" spans="1:11">
      <c r="I58" s="40" t="s">
        <v>2107</v>
      </c>
    </row>
    <row r="59" spans="1:11">
      <c r="I59" s="39"/>
    </row>
    <row r="60" spans="1:11">
      <c r="I60" s="40" t="s">
        <v>2114</v>
      </c>
    </row>
    <row r="62" spans="1:11">
      <c r="I62" s="24" t="s">
        <v>2109</v>
      </c>
    </row>
    <row r="63" spans="1:11">
      <c r="I63" s="54" t="s">
        <v>2121</v>
      </c>
    </row>
    <row r="67" spans="9:9">
      <c r="I67" t="s">
        <v>2115</v>
      </c>
    </row>
    <row r="68" spans="9:9">
      <c r="I68" s="39"/>
    </row>
    <row r="69" spans="9:9">
      <c r="I69" s="40" t="s">
        <v>2116</v>
      </c>
    </row>
    <row r="70" spans="9:9">
      <c r="I70" s="39"/>
    </row>
    <row r="71" spans="9:9">
      <c r="I71" s="40" t="s">
        <v>2117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D9726-FBDD-4FD9-AE23-3820D4464447}">
  <sheetPr codeName="Sheet24"/>
  <dimension ref="A1:F79"/>
  <sheetViews>
    <sheetView topLeftCell="A45" workbookViewId="0">
      <selection activeCell="D65" sqref="D65"/>
    </sheetView>
  </sheetViews>
  <sheetFormatPr defaultRowHeight="14.4"/>
  <cols>
    <col min="1" max="1" width="10.33203125" bestFit="1" customWidth="1"/>
    <col min="2" max="2" width="9.21875" bestFit="1" customWidth="1"/>
    <col min="4" max="4" width="14.44140625" bestFit="1" customWidth="1"/>
    <col min="6" max="6" width="11.88671875" customWidth="1"/>
  </cols>
  <sheetData>
    <row r="1" spans="1:6">
      <c r="A1" t="s">
        <v>2122</v>
      </c>
      <c r="B1" t="s">
        <v>2123</v>
      </c>
      <c r="F1" t="s">
        <v>2124</v>
      </c>
    </row>
    <row r="2" spans="1:6">
      <c r="A2" s="28">
        <v>45870</v>
      </c>
      <c r="B2">
        <f>NETWORKDAYS.INTL($A$2,A32,1,F2:F3)</f>
        <v>19</v>
      </c>
      <c r="F2" s="28">
        <v>45883</v>
      </c>
    </row>
    <row r="3" spans="1:6">
      <c r="A3" s="28">
        <v>45871</v>
      </c>
      <c r="B3" s="51"/>
      <c r="F3" s="28">
        <v>45884</v>
      </c>
    </row>
    <row r="4" spans="1:6">
      <c r="A4" s="28">
        <v>45872</v>
      </c>
    </row>
    <row r="5" spans="1:6" ht="18">
      <c r="A5" s="28">
        <v>45873</v>
      </c>
      <c r="D5" s="13" t="s">
        <v>2125</v>
      </c>
    </row>
    <row r="6" spans="1:6">
      <c r="A6" s="28">
        <v>45874</v>
      </c>
    </row>
    <row r="7" spans="1:6">
      <c r="A7" s="28">
        <v>45875</v>
      </c>
      <c r="D7" s="24" t="s">
        <v>2126</v>
      </c>
    </row>
    <row r="8" spans="1:6">
      <c r="A8" s="28">
        <v>45876</v>
      </c>
      <c r="D8" s="39"/>
    </row>
    <row r="9" spans="1:6">
      <c r="A9" s="28">
        <v>45877</v>
      </c>
      <c r="D9" s="40" t="s">
        <v>2127</v>
      </c>
    </row>
    <row r="10" spans="1:6">
      <c r="A10" s="28">
        <v>45878</v>
      </c>
      <c r="D10" s="39"/>
    </row>
    <row r="11" spans="1:6">
      <c r="A11" s="28">
        <v>45879</v>
      </c>
      <c r="D11" s="39"/>
    </row>
    <row r="12" spans="1:6">
      <c r="A12" s="28">
        <v>45880</v>
      </c>
      <c r="D12" s="46"/>
    </row>
    <row r="13" spans="1:6">
      <c r="A13" s="28">
        <v>45881</v>
      </c>
      <c r="D13" s="57" t="s">
        <v>2128</v>
      </c>
    </row>
    <row r="14" spans="1:6">
      <c r="A14" s="28">
        <v>45882</v>
      </c>
      <c r="D14" s="46"/>
    </row>
    <row r="15" spans="1:6">
      <c r="A15" s="28">
        <v>45883</v>
      </c>
      <c r="D15" s="46" t="s">
        <v>2129</v>
      </c>
    </row>
    <row r="16" spans="1:6">
      <c r="A16" s="28">
        <v>45884</v>
      </c>
      <c r="D16" s="39"/>
    </row>
    <row r="17" spans="1:4">
      <c r="A17" s="28">
        <v>45885</v>
      </c>
      <c r="D17" s="40" t="s">
        <v>2130</v>
      </c>
    </row>
    <row r="18" spans="1:4">
      <c r="A18" s="28">
        <v>45886</v>
      </c>
      <c r="D18" s="39"/>
    </row>
    <row r="19" spans="1:4">
      <c r="A19" s="28">
        <v>45887</v>
      </c>
      <c r="D19" s="39"/>
    </row>
    <row r="20" spans="1:4">
      <c r="A20" s="28">
        <v>45888</v>
      </c>
      <c r="D20" s="46"/>
    </row>
    <row r="21" spans="1:4">
      <c r="A21" s="28">
        <v>45889</v>
      </c>
      <c r="D21" s="58" t="s">
        <v>2131</v>
      </c>
    </row>
    <row r="22" spans="1:4">
      <c r="A22" s="28">
        <v>45890</v>
      </c>
      <c r="D22" s="46"/>
    </row>
    <row r="23" spans="1:4">
      <c r="A23" s="28">
        <v>45891</v>
      </c>
      <c r="D23" s="46"/>
    </row>
    <row r="24" spans="1:4">
      <c r="A24" s="28">
        <v>45892</v>
      </c>
      <c r="D24" s="59"/>
    </row>
    <row r="25" spans="1:4">
      <c r="A25" s="28">
        <v>45893</v>
      </c>
      <c r="D25" s="59" t="s">
        <v>2132</v>
      </c>
    </row>
    <row r="26" spans="1:4">
      <c r="A26" s="28">
        <v>45894</v>
      </c>
      <c r="D26" s="59"/>
    </row>
    <row r="27" spans="1:4">
      <c r="A27" s="28">
        <v>45895</v>
      </c>
      <c r="D27" s="60" t="s">
        <v>2133</v>
      </c>
    </row>
    <row r="28" spans="1:4">
      <c r="A28" s="28">
        <v>45896</v>
      </c>
      <c r="D28" s="46"/>
    </row>
    <row r="29" spans="1:4">
      <c r="A29" s="28">
        <v>45897</v>
      </c>
      <c r="D29" s="58" t="s">
        <v>2134</v>
      </c>
    </row>
    <row r="30" spans="1:4">
      <c r="A30" s="28">
        <v>45898</v>
      </c>
      <c r="D30" s="46"/>
    </row>
    <row r="31" spans="1:4">
      <c r="A31" s="28">
        <v>45899</v>
      </c>
      <c r="D31" s="46"/>
    </row>
    <row r="32" spans="1:4">
      <c r="A32" s="28">
        <v>45900</v>
      </c>
      <c r="D32" s="59"/>
    </row>
    <row r="33" spans="1:4">
      <c r="A33" s="28"/>
      <c r="D33" s="59" t="s">
        <v>2135</v>
      </c>
    </row>
    <row r="34" spans="1:4">
      <c r="D34" s="59"/>
    </row>
    <row r="35" spans="1:4">
      <c r="D35" s="59" t="s">
        <v>2136</v>
      </c>
    </row>
    <row r="36" spans="1:4">
      <c r="D36" s="46"/>
    </row>
    <row r="37" spans="1:4">
      <c r="D37" s="58" t="s">
        <v>2137</v>
      </c>
    </row>
    <row r="38" spans="1:4">
      <c r="D38" s="46"/>
    </row>
    <row r="39" spans="1:4">
      <c r="D39" s="46"/>
    </row>
    <row r="40" spans="1:4">
      <c r="D40" s="59"/>
    </row>
    <row r="41" spans="1:4">
      <c r="D41" s="59" t="s">
        <v>2138</v>
      </c>
    </row>
    <row r="42" spans="1:4">
      <c r="D42" s="59"/>
    </row>
    <row r="43" spans="1:4">
      <c r="D43" s="60" t="s">
        <v>2139</v>
      </c>
    </row>
    <row r="44" spans="1:4">
      <c r="D44" s="59"/>
    </row>
    <row r="45" spans="1:4">
      <c r="D45" s="59"/>
    </row>
    <row r="46" spans="1:4">
      <c r="D46" s="61"/>
    </row>
    <row r="47" spans="1:4">
      <c r="D47" s="61" t="s">
        <v>2140</v>
      </c>
    </row>
    <row r="48" spans="1:4">
      <c r="D48" s="61"/>
    </row>
    <row r="49" spans="4:4">
      <c r="D49" s="61"/>
    </row>
    <row r="50" spans="4:4">
      <c r="D50" s="62"/>
    </row>
    <row r="51" spans="4:4">
      <c r="D51" s="62" t="s">
        <v>2141</v>
      </c>
    </row>
    <row r="52" spans="4:4">
      <c r="D52" s="62"/>
    </row>
    <row r="53" spans="4:4">
      <c r="D53" s="62" t="s">
        <v>2142</v>
      </c>
    </row>
    <row r="54" spans="4:4">
      <c r="D54" s="62"/>
    </row>
    <row r="55" spans="4:4">
      <c r="D55" s="62" t="s">
        <v>2143</v>
      </c>
    </row>
    <row r="56" spans="4:4">
      <c r="D56" s="46"/>
    </row>
    <row r="57" spans="4:4">
      <c r="D57" s="58" t="s">
        <v>2144</v>
      </c>
    </row>
    <row r="58" spans="4:4">
      <c r="D58" s="46"/>
    </row>
    <row r="59" spans="4:4">
      <c r="D59" s="46"/>
    </row>
    <row r="60" spans="4:4">
      <c r="D60" s="59"/>
    </row>
    <row r="61" spans="4:4">
      <c r="D61" s="59" t="s">
        <v>2145</v>
      </c>
    </row>
    <row r="62" spans="4:4">
      <c r="D62" s="59"/>
    </row>
    <row r="63" spans="4:4">
      <c r="D63" s="59" t="s">
        <v>2146</v>
      </c>
    </row>
    <row r="64" spans="4:4">
      <c r="D64" s="59"/>
    </row>
    <row r="65" spans="4:4">
      <c r="D65" s="59"/>
    </row>
    <row r="66" spans="4:4">
      <c r="D66" s="61"/>
    </row>
    <row r="67" spans="4:4">
      <c r="D67" s="63">
        <v>45883</v>
      </c>
    </row>
    <row r="68" spans="4:4">
      <c r="D68" s="61"/>
    </row>
    <row r="69" spans="4:4">
      <c r="D69" s="63">
        <v>45884</v>
      </c>
    </row>
    <row r="70" spans="4:4">
      <c r="D70" s="39"/>
    </row>
    <row r="71" spans="4:4">
      <c r="D71" s="40" t="s">
        <v>2147</v>
      </c>
    </row>
    <row r="72" spans="4:4">
      <c r="D72" s="39"/>
    </row>
    <row r="73" spans="4:4">
      <c r="D73" s="39"/>
    </row>
    <row r="74" spans="4:4">
      <c r="D74" s="46"/>
    </row>
    <row r="75" spans="4:4">
      <c r="D75" s="46" t="s">
        <v>2148</v>
      </c>
    </row>
    <row r="76" spans="4:4">
      <c r="D76" s="46"/>
    </row>
    <row r="77" spans="4:4">
      <c r="D77" s="46" t="s">
        <v>2149</v>
      </c>
    </row>
    <row r="78" spans="4:4">
      <c r="D78" s="46"/>
    </row>
    <row r="79" spans="4:4">
      <c r="D79" s="46" t="s">
        <v>2150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0BB9A-B766-4FCC-98DA-141EE9DF07E8}">
  <sheetPr codeName="Sheet25"/>
  <dimension ref="A1:N42"/>
  <sheetViews>
    <sheetView workbookViewId="0">
      <selection activeCell="K16" sqref="K16"/>
    </sheetView>
  </sheetViews>
  <sheetFormatPr defaultRowHeight="14.4"/>
  <cols>
    <col min="1" max="1" width="11.6640625" customWidth="1"/>
    <col min="3" max="3" width="12.33203125" customWidth="1"/>
    <col min="4" max="4" width="17.21875" customWidth="1"/>
    <col min="6" max="6" width="12.5546875" customWidth="1"/>
    <col min="7" max="7" width="13.6640625" customWidth="1"/>
    <col min="8" max="8" width="10.6640625" customWidth="1"/>
    <col min="9" max="9" width="14.77734375" customWidth="1"/>
    <col min="10" max="10" width="13.33203125" customWidth="1"/>
  </cols>
  <sheetData>
    <row r="1" spans="1:14">
      <c r="A1" t="s">
        <v>503</v>
      </c>
      <c r="B1" t="s">
        <v>542</v>
      </c>
      <c r="C1" t="s">
        <v>383</v>
      </c>
      <c r="D1" t="s">
        <v>505</v>
      </c>
      <c r="E1" t="s">
        <v>504</v>
      </c>
      <c r="F1" t="s">
        <v>543</v>
      </c>
      <c r="G1" t="s">
        <v>175</v>
      </c>
      <c r="H1" t="s">
        <v>507</v>
      </c>
      <c r="I1" t="s">
        <v>508</v>
      </c>
      <c r="J1" t="s">
        <v>509</v>
      </c>
    </row>
    <row r="2" spans="1:14" ht="25.8">
      <c r="A2" s="28">
        <v>45102</v>
      </c>
      <c r="B2" t="s">
        <v>544</v>
      </c>
      <c r="C2" t="s">
        <v>521</v>
      </c>
      <c r="D2" t="s">
        <v>511</v>
      </c>
      <c r="E2" t="s">
        <v>510</v>
      </c>
      <c r="F2" t="s">
        <v>192</v>
      </c>
      <c r="G2" t="s">
        <v>545</v>
      </c>
      <c r="H2">
        <v>6</v>
      </c>
      <c r="I2">
        <v>4016.25</v>
      </c>
      <c r="J2">
        <v>24097.5</v>
      </c>
      <c r="N2" s="20" t="s">
        <v>2214</v>
      </c>
    </row>
    <row r="3" spans="1:14">
      <c r="A3" s="28">
        <v>45092</v>
      </c>
      <c r="B3" t="s">
        <v>2151</v>
      </c>
      <c r="C3" t="s">
        <v>522</v>
      </c>
      <c r="D3" t="s">
        <v>515</v>
      </c>
      <c r="E3" t="s">
        <v>512</v>
      </c>
      <c r="F3" t="s">
        <v>188</v>
      </c>
      <c r="G3" t="s">
        <v>547</v>
      </c>
      <c r="H3">
        <v>9</v>
      </c>
      <c r="I3">
        <v>3801.8</v>
      </c>
      <c r="J3">
        <v>34216.65</v>
      </c>
    </row>
    <row r="4" spans="1:14">
      <c r="A4" s="28">
        <v>45022</v>
      </c>
      <c r="B4" t="s">
        <v>548</v>
      </c>
      <c r="C4" t="s">
        <v>549</v>
      </c>
      <c r="D4" t="s">
        <v>513</v>
      </c>
      <c r="E4" t="s">
        <v>512</v>
      </c>
      <c r="F4" t="s">
        <v>188</v>
      </c>
      <c r="G4" t="s">
        <v>547</v>
      </c>
      <c r="H4">
        <v>11</v>
      </c>
      <c r="I4">
        <v>3594.07</v>
      </c>
      <c r="J4">
        <v>39534.769999999997</v>
      </c>
      <c r="L4" t="s">
        <v>2215</v>
      </c>
    </row>
    <row r="5" spans="1:14">
      <c r="A5" s="28">
        <v>45017</v>
      </c>
      <c r="B5" t="s">
        <v>546</v>
      </c>
      <c r="C5" t="s">
        <v>518</v>
      </c>
      <c r="D5" t="s">
        <v>515</v>
      </c>
      <c r="E5" t="s">
        <v>512</v>
      </c>
      <c r="F5" t="s">
        <v>196</v>
      </c>
      <c r="G5" t="s">
        <v>550</v>
      </c>
      <c r="H5">
        <v>2</v>
      </c>
      <c r="I5">
        <v>2041.52</v>
      </c>
      <c r="J5">
        <v>4083.03</v>
      </c>
    </row>
    <row r="6" spans="1:14">
      <c r="A6" s="28">
        <v>45155</v>
      </c>
      <c r="B6" t="s">
        <v>553</v>
      </c>
      <c r="C6" t="s">
        <v>382</v>
      </c>
      <c r="D6" t="s">
        <v>511</v>
      </c>
      <c r="E6" t="s">
        <v>510</v>
      </c>
      <c r="F6" t="s">
        <v>517</v>
      </c>
      <c r="G6" t="s">
        <v>552</v>
      </c>
      <c r="H6">
        <v>17</v>
      </c>
      <c r="I6">
        <v>1240.77</v>
      </c>
      <c r="J6">
        <v>21093.09</v>
      </c>
      <c r="L6" t="s">
        <v>2216</v>
      </c>
    </row>
    <row r="7" spans="1:14">
      <c r="A7" s="28">
        <v>45080</v>
      </c>
      <c r="B7" t="s">
        <v>555</v>
      </c>
      <c r="C7" t="s">
        <v>516</v>
      </c>
      <c r="D7" t="s">
        <v>515</v>
      </c>
      <c r="E7" t="s">
        <v>512</v>
      </c>
      <c r="F7" t="s">
        <v>188</v>
      </c>
      <c r="G7" t="s">
        <v>554</v>
      </c>
      <c r="H7">
        <v>5</v>
      </c>
      <c r="I7">
        <v>1384.79</v>
      </c>
      <c r="J7">
        <v>6923.97</v>
      </c>
    </row>
    <row r="8" spans="1:14">
      <c r="A8" s="28">
        <v>45061</v>
      </c>
      <c r="B8" t="s">
        <v>555</v>
      </c>
      <c r="C8" t="s">
        <v>514</v>
      </c>
      <c r="D8" t="s">
        <v>513</v>
      </c>
      <c r="E8" t="s">
        <v>512</v>
      </c>
      <c r="F8" t="s">
        <v>180</v>
      </c>
      <c r="G8" t="s">
        <v>135</v>
      </c>
      <c r="H8">
        <v>5</v>
      </c>
      <c r="I8">
        <v>2196.9899999999998</v>
      </c>
      <c r="J8">
        <v>10984.95</v>
      </c>
    </row>
    <row r="9" spans="1:14">
      <c r="A9" s="28">
        <v>44958</v>
      </c>
      <c r="B9" t="s">
        <v>555</v>
      </c>
      <c r="C9" t="s">
        <v>525</v>
      </c>
      <c r="D9" t="s">
        <v>524</v>
      </c>
      <c r="E9" t="s">
        <v>510</v>
      </c>
      <c r="F9" t="s">
        <v>196</v>
      </c>
      <c r="G9" t="s">
        <v>550</v>
      </c>
      <c r="H9">
        <v>18</v>
      </c>
      <c r="I9">
        <v>3128.59</v>
      </c>
      <c r="J9">
        <v>56314.62</v>
      </c>
    </row>
    <row r="10" spans="1:14">
      <c r="A10" s="28">
        <v>44943</v>
      </c>
      <c r="B10" t="s">
        <v>548</v>
      </c>
      <c r="C10" t="s">
        <v>518</v>
      </c>
      <c r="D10" t="s">
        <v>515</v>
      </c>
      <c r="E10" t="s">
        <v>512</v>
      </c>
      <c r="F10" t="s">
        <v>192</v>
      </c>
      <c r="G10" t="s">
        <v>545</v>
      </c>
      <c r="H10">
        <v>1</v>
      </c>
      <c r="I10">
        <v>2754.39</v>
      </c>
      <c r="J10">
        <v>2754.39</v>
      </c>
    </row>
    <row r="11" spans="1:14">
      <c r="A11" s="28">
        <v>44958</v>
      </c>
      <c r="B11" t="s">
        <v>555</v>
      </c>
      <c r="C11" t="s">
        <v>525</v>
      </c>
      <c r="D11" t="s">
        <v>524</v>
      </c>
      <c r="E11" t="s">
        <v>510</v>
      </c>
      <c r="F11" t="s">
        <v>180</v>
      </c>
      <c r="G11" t="s">
        <v>138</v>
      </c>
      <c r="H11">
        <v>19</v>
      </c>
      <c r="I11">
        <v>4896.3100000000004</v>
      </c>
      <c r="J11">
        <v>93029.89</v>
      </c>
    </row>
    <row r="12" spans="1:14">
      <c r="A12" s="28">
        <v>44989</v>
      </c>
      <c r="B12" t="s">
        <v>555</v>
      </c>
      <c r="C12" t="s">
        <v>514</v>
      </c>
      <c r="D12" t="s">
        <v>513</v>
      </c>
      <c r="E12" t="s">
        <v>512</v>
      </c>
      <c r="F12" t="s">
        <v>196</v>
      </c>
      <c r="G12" t="s">
        <v>557</v>
      </c>
      <c r="H12">
        <v>6</v>
      </c>
      <c r="I12">
        <v>4231.7700000000004</v>
      </c>
      <c r="J12">
        <v>25390.62</v>
      </c>
    </row>
    <row r="13" spans="1:14">
      <c r="A13" s="28">
        <v>45176</v>
      </c>
      <c r="B13" t="s">
        <v>560</v>
      </c>
      <c r="C13" t="s">
        <v>382</v>
      </c>
      <c r="D13" t="s">
        <v>511</v>
      </c>
      <c r="E13" t="s">
        <v>510</v>
      </c>
      <c r="F13" t="s">
        <v>196</v>
      </c>
      <c r="G13" t="s">
        <v>559</v>
      </c>
      <c r="H13">
        <v>20</v>
      </c>
      <c r="I13">
        <v>1277.53</v>
      </c>
      <c r="J13">
        <v>25550.6</v>
      </c>
    </row>
    <row r="14" spans="1:14">
      <c r="A14" s="28">
        <v>45149</v>
      </c>
      <c r="B14" t="s">
        <v>560</v>
      </c>
      <c r="C14" t="s">
        <v>525</v>
      </c>
      <c r="D14" t="s">
        <v>524</v>
      </c>
      <c r="E14" t="s">
        <v>510</v>
      </c>
      <c r="F14" t="s">
        <v>196</v>
      </c>
      <c r="G14" t="s">
        <v>557</v>
      </c>
      <c r="H14">
        <v>7</v>
      </c>
      <c r="I14">
        <v>1263.32</v>
      </c>
      <c r="J14">
        <v>8843.26</v>
      </c>
    </row>
    <row r="15" spans="1:14">
      <c r="A15" s="28">
        <v>45159</v>
      </c>
      <c r="B15" t="s">
        <v>560</v>
      </c>
      <c r="C15" t="s">
        <v>561</v>
      </c>
      <c r="D15" t="s">
        <v>403</v>
      </c>
      <c r="E15" t="s">
        <v>519</v>
      </c>
      <c r="F15" t="s">
        <v>196</v>
      </c>
      <c r="G15" t="s">
        <v>559</v>
      </c>
      <c r="H15">
        <v>1</v>
      </c>
      <c r="I15">
        <v>2634.14</v>
      </c>
      <c r="J15">
        <v>2634.14</v>
      </c>
    </row>
    <row r="16" spans="1:14">
      <c r="A16" s="28">
        <v>45149</v>
      </c>
      <c r="B16" t="s">
        <v>555</v>
      </c>
      <c r="C16" t="s">
        <v>384</v>
      </c>
      <c r="D16" t="s">
        <v>511</v>
      </c>
      <c r="E16" t="s">
        <v>510</v>
      </c>
      <c r="F16" t="s">
        <v>192</v>
      </c>
      <c r="G16" t="s">
        <v>545</v>
      </c>
      <c r="H16">
        <v>11</v>
      </c>
      <c r="I16">
        <v>2970.3</v>
      </c>
      <c r="J16">
        <v>32673.360000000001</v>
      </c>
    </row>
    <row r="17" spans="1:10">
      <c r="A17" s="28">
        <v>45025</v>
      </c>
      <c r="B17" t="s">
        <v>555</v>
      </c>
      <c r="C17" t="s">
        <v>385</v>
      </c>
      <c r="D17" t="s">
        <v>524</v>
      </c>
      <c r="E17" t="s">
        <v>510</v>
      </c>
      <c r="F17" t="s">
        <v>517</v>
      </c>
      <c r="G17" t="s">
        <v>562</v>
      </c>
      <c r="H17">
        <v>3</v>
      </c>
      <c r="I17">
        <v>6821.39</v>
      </c>
      <c r="J17">
        <v>20464.16</v>
      </c>
    </row>
    <row r="18" spans="1:10">
      <c r="A18" s="28">
        <v>45181</v>
      </c>
      <c r="B18" t="s">
        <v>551</v>
      </c>
      <c r="C18" t="s">
        <v>514</v>
      </c>
      <c r="D18" t="s">
        <v>513</v>
      </c>
      <c r="E18" t="s">
        <v>512</v>
      </c>
      <c r="F18" t="s">
        <v>196</v>
      </c>
      <c r="G18" t="s">
        <v>550</v>
      </c>
      <c r="H18">
        <v>3</v>
      </c>
      <c r="I18">
        <v>4244.7299999999996</v>
      </c>
      <c r="J18">
        <v>12734.19</v>
      </c>
    </row>
    <row r="19" spans="1:10">
      <c r="A19" s="28">
        <v>45110</v>
      </c>
      <c r="B19" t="s">
        <v>563</v>
      </c>
      <c r="C19" t="s">
        <v>564</v>
      </c>
      <c r="D19" t="s">
        <v>403</v>
      </c>
      <c r="E19" t="s">
        <v>519</v>
      </c>
      <c r="F19" t="s">
        <v>188</v>
      </c>
      <c r="G19" t="s">
        <v>554</v>
      </c>
      <c r="H19">
        <v>6</v>
      </c>
      <c r="I19">
        <v>1133.22</v>
      </c>
      <c r="J19">
        <v>6799.32</v>
      </c>
    </row>
    <row r="20" spans="1:10">
      <c r="A20" s="28">
        <v>45044</v>
      </c>
      <c r="B20" t="s">
        <v>551</v>
      </c>
      <c r="C20" t="s">
        <v>522</v>
      </c>
      <c r="D20" t="s">
        <v>515</v>
      </c>
      <c r="E20" t="s">
        <v>512</v>
      </c>
      <c r="F20" t="s">
        <v>180</v>
      </c>
      <c r="G20" t="s">
        <v>138</v>
      </c>
      <c r="H20">
        <v>3</v>
      </c>
      <c r="I20">
        <v>1246.42</v>
      </c>
      <c r="J20">
        <v>3739.26</v>
      </c>
    </row>
    <row r="21" spans="1:10">
      <c r="A21" s="28">
        <v>45161</v>
      </c>
      <c r="B21" t="s">
        <v>551</v>
      </c>
      <c r="C21" t="s">
        <v>522</v>
      </c>
      <c r="D21" t="s">
        <v>515</v>
      </c>
      <c r="E21" t="s">
        <v>512</v>
      </c>
      <c r="F21" t="s">
        <v>188</v>
      </c>
      <c r="G21" t="s">
        <v>547</v>
      </c>
      <c r="H21">
        <v>8</v>
      </c>
      <c r="I21">
        <v>1569.78</v>
      </c>
      <c r="J21">
        <v>12571.56</v>
      </c>
    </row>
    <row r="22" spans="1:10">
      <c r="A22" s="28">
        <v>45266</v>
      </c>
      <c r="B22" t="s">
        <v>2152</v>
      </c>
      <c r="C22" t="s">
        <v>523</v>
      </c>
      <c r="D22" t="s">
        <v>513</v>
      </c>
      <c r="E22" t="s">
        <v>512</v>
      </c>
      <c r="F22" t="s">
        <v>517</v>
      </c>
      <c r="G22" t="s">
        <v>565</v>
      </c>
      <c r="H22">
        <v>19</v>
      </c>
      <c r="I22">
        <v>2494.11</v>
      </c>
      <c r="J22">
        <v>47388.09</v>
      </c>
    </row>
    <row r="23" spans="1:10">
      <c r="A23" s="28">
        <v>44931</v>
      </c>
      <c r="B23" t="s">
        <v>2153</v>
      </c>
      <c r="C23" t="s">
        <v>2154</v>
      </c>
      <c r="D23" t="s">
        <v>2155</v>
      </c>
      <c r="E23" t="s">
        <v>519</v>
      </c>
      <c r="F23" t="s">
        <v>196</v>
      </c>
      <c r="G23" t="s">
        <v>2156</v>
      </c>
      <c r="H23">
        <v>4</v>
      </c>
      <c r="I23">
        <v>3250.45</v>
      </c>
      <c r="J23">
        <v>13001.8</v>
      </c>
    </row>
    <row r="24" spans="1:10">
      <c r="A24" s="28">
        <v>44969</v>
      </c>
      <c r="B24" t="s">
        <v>2157</v>
      </c>
      <c r="C24" t="s">
        <v>2158</v>
      </c>
      <c r="D24" t="s">
        <v>2159</v>
      </c>
      <c r="E24" t="s">
        <v>2160</v>
      </c>
      <c r="F24" t="s">
        <v>180</v>
      </c>
      <c r="G24" t="s">
        <v>2161</v>
      </c>
      <c r="H24">
        <v>7</v>
      </c>
      <c r="I24">
        <v>15499.99</v>
      </c>
      <c r="J24">
        <v>108499.93</v>
      </c>
    </row>
    <row r="25" spans="1:10">
      <c r="A25" s="28">
        <v>45003</v>
      </c>
      <c r="B25" t="s">
        <v>2162</v>
      </c>
      <c r="C25" t="s">
        <v>2163</v>
      </c>
      <c r="D25" t="s">
        <v>2164</v>
      </c>
      <c r="E25" t="s">
        <v>2165</v>
      </c>
      <c r="F25" t="s">
        <v>192</v>
      </c>
      <c r="G25" t="s">
        <v>2166</v>
      </c>
      <c r="H25">
        <v>10</v>
      </c>
      <c r="I25">
        <v>2850.75</v>
      </c>
      <c r="J25">
        <v>28507.5</v>
      </c>
    </row>
    <row r="26" spans="1:10">
      <c r="A26" s="28">
        <v>45010</v>
      </c>
      <c r="B26" t="s">
        <v>2167</v>
      </c>
      <c r="C26" t="s">
        <v>2168</v>
      </c>
      <c r="D26" t="s">
        <v>2164</v>
      </c>
      <c r="E26" t="s">
        <v>2165</v>
      </c>
      <c r="F26" t="s">
        <v>188</v>
      </c>
      <c r="G26" t="s">
        <v>2169</v>
      </c>
      <c r="H26">
        <v>15</v>
      </c>
      <c r="I26">
        <v>120.5</v>
      </c>
      <c r="J26">
        <v>1807.5</v>
      </c>
    </row>
    <row r="27" spans="1:10">
      <c r="A27" s="28">
        <v>45018</v>
      </c>
      <c r="B27" t="s">
        <v>2170</v>
      </c>
      <c r="C27" t="s">
        <v>2171</v>
      </c>
      <c r="D27" t="s">
        <v>405</v>
      </c>
      <c r="E27" t="s">
        <v>2160</v>
      </c>
      <c r="F27" t="s">
        <v>517</v>
      </c>
      <c r="G27" t="s">
        <v>2172</v>
      </c>
      <c r="H27">
        <v>20</v>
      </c>
      <c r="I27">
        <v>52.5</v>
      </c>
      <c r="J27">
        <v>1050</v>
      </c>
    </row>
    <row r="28" spans="1:10">
      <c r="A28" s="28">
        <v>45031</v>
      </c>
      <c r="B28" t="s">
        <v>2173</v>
      </c>
      <c r="C28" t="s">
        <v>385</v>
      </c>
      <c r="D28" t="s">
        <v>524</v>
      </c>
      <c r="E28" t="s">
        <v>510</v>
      </c>
      <c r="F28" t="s">
        <v>196</v>
      </c>
      <c r="G28" t="s">
        <v>2174</v>
      </c>
      <c r="H28">
        <v>9</v>
      </c>
      <c r="I28">
        <v>1450.65</v>
      </c>
      <c r="J28">
        <v>13055.85</v>
      </c>
    </row>
    <row r="29" spans="1:10">
      <c r="A29" s="28">
        <v>45065</v>
      </c>
      <c r="B29" t="s">
        <v>2175</v>
      </c>
      <c r="C29" t="s">
        <v>521</v>
      </c>
      <c r="D29" t="s">
        <v>511</v>
      </c>
      <c r="E29" t="s">
        <v>510</v>
      </c>
      <c r="F29" t="s">
        <v>180</v>
      </c>
      <c r="G29" t="s">
        <v>148</v>
      </c>
      <c r="H29">
        <v>5</v>
      </c>
      <c r="I29">
        <v>18999.5</v>
      </c>
      <c r="J29">
        <v>94997.5</v>
      </c>
    </row>
    <row r="30" spans="1:10">
      <c r="A30" s="28">
        <v>45078</v>
      </c>
      <c r="B30" t="s">
        <v>2176</v>
      </c>
      <c r="C30" t="s">
        <v>2177</v>
      </c>
      <c r="D30" t="s">
        <v>2178</v>
      </c>
      <c r="E30" t="s">
        <v>519</v>
      </c>
      <c r="F30" t="s">
        <v>188</v>
      </c>
      <c r="G30" t="s">
        <v>2179</v>
      </c>
      <c r="H30">
        <v>30</v>
      </c>
      <c r="I30">
        <v>25.75</v>
      </c>
      <c r="J30">
        <v>772.5</v>
      </c>
    </row>
    <row r="31" spans="1:10">
      <c r="A31" s="28">
        <v>45089</v>
      </c>
      <c r="B31" t="s">
        <v>2180</v>
      </c>
      <c r="C31" t="s">
        <v>514</v>
      </c>
      <c r="D31" t="s">
        <v>513</v>
      </c>
      <c r="E31" t="s">
        <v>512</v>
      </c>
      <c r="F31" t="s">
        <v>517</v>
      </c>
      <c r="G31" t="s">
        <v>2181</v>
      </c>
      <c r="H31">
        <v>6</v>
      </c>
      <c r="I31">
        <v>480.35</v>
      </c>
      <c r="J31">
        <v>2882.1</v>
      </c>
    </row>
    <row r="32" spans="1:10">
      <c r="A32" s="28">
        <v>45129</v>
      </c>
      <c r="B32" t="s">
        <v>2182</v>
      </c>
      <c r="C32" t="s">
        <v>384</v>
      </c>
      <c r="D32" t="s">
        <v>511</v>
      </c>
      <c r="E32" t="s">
        <v>510</v>
      </c>
      <c r="F32" t="s">
        <v>196</v>
      </c>
      <c r="G32" t="s">
        <v>559</v>
      </c>
      <c r="H32">
        <v>8</v>
      </c>
      <c r="I32">
        <v>1299.99</v>
      </c>
      <c r="J32">
        <v>10399.92</v>
      </c>
    </row>
    <row r="33" spans="1:10">
      <c r="A33" s="28">
        <v>45135</v>
      </c>
      <c r="B33" t="s">
        <v>2183</v>
      </c>
      <c r="C33" t="s">
        <v>403</v>
      </c>
      <c r="D33" t="s">
        <v>403</v>
      </c>
      <c r="E33" t="s">
        <v>519</v>
      </c>
      <c r="F33" t="s">
        <v>192</v>
      </c>
      <c r="G33" t="s">
        <v>2184</v>
      </c>
      <c r="H33">
        <v>2</v>
      </c>
      <c r="I33">
        <v>7500</v>
      </c>
      <c r="J33">
        <v>15000</v>
      </c>
    </row>
    <row r="34" spans="1:10">
      <c r="A34" s="28">
        <v>45143</v>
      </c>
      <c r="B34" t="s">
        <v>2185</v>
      </c>
      <c r="C34" t="s">
        <v>522</v>
      </c>
      <c r="D34" t="s">
        <v>515</v>
      </c>
      <c r="E34" t="s">
        <v>512</v>
      </c>
      <c r="F34" t="s">
        <v>188</v>
      </c>
      <c r="G34" t="s">
        <v>2186</v>
      </c>
      <c r="H34">
        <v>12</v>
      </c>
      <c r="I34">
        <v>45.6</v>
      </c>
      <c r="J34">
        <v>547.20000000000005</v>
      </c>
    </row>
    <row r="35" spans="1:10">
      <c r="A35" s="28">
        <v>45153</v>
      </c>
      <c r="B35" t="s">
        <v>2187</v>
      </c>
      <c r="C35" t="s">
        <v>526</v>
      </c>
      <c r="D35" t="s">
        <v>524</v>
      </c>
      <c r="E35" t="s">
        <v>510</v>
      </c>
      <c r="F35" t="s">
        <v>180</v>
      </c>
      <c r="G35" t="s">
        <v>135</v>
      </c>
      <c r="H35">
        <v>4</v>
      </c>
      <c r="I35">
        <v>2150.35</v>
      </c>
      <c r="J35">
        <v>8601.4</v>
      </c>
    </row>
    <row r="36" spans="1:10">
      <c r="A36" s="28">
        <v>45163</v>
      </c>
      <c r="B36" t="s">
        <v>2188</v>
      </c>
      <c r="C36" t="s">
        <v>516</v>
      </c>
      <c r="D36" t="s">
        <v>515</v>
      </c>
      <c r="E36" t="s">
        <v>512</v>
      </c>
      <c r="F36" t="s">
        <v>517</v>
      </c>
      <c r="G36" t="s">
        <v>2189</v>
      </c>
      <c r="H36">
        <v>10</v>
      </c>
      <c r="I36">
        <v>350.25</v>
      </c>
      <c r="J36">
        <v>3502.5</v>
      </c>
    </row>
    <row r="37" spans="1:10">
      <c r="A37" s="28">
        <v>45178</v>
      </c>
      <c r="B37" t="s">
        <v>2190</v>
      </c>
      <c r="C37" t="s">
        <v>549</v>
      </c>
      <c r="D37" t="s">
        <v>513</v>
      </c>
      <c r="E37" t="s">
        <v>512</v>
      </c>
      <c r="F37" t="s">
        <v>196</v>
      </c>
      <c r="G37" t="s">
        <v>2191</v>
      </c>
      <c r="H37">
        <v>3</v>
      </c>
      <c r="I37">
        <v>2450</v>
      </c>
      <c r="J37">
        <v>7350</v>
      </c>
    </row>
    <row r="38" spans="1:10">
      <c r="A38" s="28">
        <v>45184</v>
      </c>
      <c r="B38" t="s">
        <v>2192</v>
      </c>
      <c r="C38" t="s">
        <v>2193</v>
      </c>
      <c r="D38" t="s">
        <v>2194</v>
      </c>
      <c r="E38" t="s">
        <v>2160</v>
      </c>
      <c r="F38" t="s">
        <v>192</v>
      </c>
      <c r="G38" t="s">
        <v>2195</v>
      </c>
      <c r="H38">
        <v>5</v>
      </c>
      <c r="I38">
        <v>799.99</v>
      </c>
      <c r="J38">
        <v>3999.95</v>
      </c>
    </row>
    <row r="39" spans="1:10">
      <c r="A39" s="28">
        <v>45201</v>
      </c>
      <c r="B39" t="s">
        <v>558</v>
      </c>
      <c r="C39" t="s">
        <v>2196</v>
      </c>
      <c r="D39" t="s">
        <v>2155</v>
      </c>
      <c r="E39" t="s">
        <v>519</v>
      </c>
      <c r="F39" t="s">
        <v>180</v>
      </c>
      <c r="G39" t="s">
        <v>2197</v>
      </c>
      <c r="H39">
        <v>6</v>
      </c>
      <c r="I39">
        <v>550.49</v>
      </c>
      <c r="J39">
        <v>3302.94</v>
      </c>
    </row>
    <row r="40" spans="1:10">
      <c r="A40" s="28">
        <v>45216</v>
      </c>
      <c r="B40" t="s">
        <v>2198</v>
      </c>
      <c r="C40" t="s">
        <v>2199</v>
      </c>
      <c r="D40" t="s">
        <v>404</v>
      </c>
      <c r="E40" t="s">
        <v>519</v>
      </c>
      <c r="F40" t="s">
        <v>517</v>
      </c>
      <c r="G40" t="s">
        <v>2200</v>
      </c>
      <c r="H40">
        <v>25</v>
      </c>
      <c r="I40">
        <v>20.149999999999999</v>
      </c>
      <c r="J40">
        <v>503.75</v>
      </c>
    </row>
    <row r="41" spans="1:10">
      <c r="A41" s="28">
        <v>45259</v>
      </c>
      <c r="B41" t="s">
        <v>2201</v>
      </c>
      <c r="C41" t="s">
        <v>2202</v>
      </c>
      <c r="D41" t="s">
        <v>2202</v>
      </c>
      <c r="E41" t="s">
        <v>510</v>
      </c>
      <c r="F41" t="s">
        <v>196</v>
      </c>
      <c r="G41" t="s">
        <v>2203</v>
      </c>
      <c r="H41">
        <v>7</v>
      </c>
      <c r="I41">
        <v>250.75</v>
      </c>
      <c r="J41">
        <v>1755.25</v>
      </c>
    </row>
    <row r="42" spans="1:10">
      <c r="A42" s="28">
        <v>45272</v>
      </c>
      <c r="B42" t="s">
        <v>2204</v>
      </c>
      <c r="C42" t="s">
        <v>2205</v>
      </c>
      <c r="D42" t="s">
        <v>2206</v>
      </c>
      <c r="E42" t="s">
        <v>519</v>
      </c>
      <c r="F42" t="s">
        <v>188</v>
      </c>
      <c r="G42" t="s">
        <v>2207</v>
      </c>
      <c r="H42">
        <v>5</v>
      </c>
      <c r="I42">
        <v>199.5</v>
      </c>
      <c r="J42">
        <v>997.5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6D49C-D44F-4DA1-A0C6-E3BE21E651B7}">
  <sheetPr codeName="Sheet26"/>
  <dimension ref="A1:G64"/>
  <sheetViews>
    <sheetView topLeftCell="A29" workbookViewId="0">
      <selection activeCell="H22" sqref="H22"/>
    </sheetView>
  </sheetViews>
  <sheetFormatPr defaultRowHeight="14.4"/>
  <cols>
    <col min="1" max="1" width="12.44140625" bestFit="1" customWidth="1"/>
    <col min="2" max="2" width="14.21875" bestFit="1" customWidth="1"/>
  </cols>
  <sheetData>
    <row r="1" spans="1:7">
      <c r="A1" s="64" t="s">
        <v>2208</v>
      </c>
      <c r="B1" t="s">
        <v>2210</v>
      </c>
    </row>
    <row r="2" spans="1:7">
      <c r="A2" s="65" t="s">
        <v>2217</v>
      </c>
    </row>
    <row r="3" spans="1:7">
      <c r="A3" s="66" t="s">
        <v>2229</v>
      </c>
      <c r="B3">
        <v>4</v>
      </c>
    </row>
    <row r="4" spans="1:7">
      <c r="A4" s="66" t="s">
        <v>2230</v>
      </c>
      <c r="B4">
        <v>1</v>
      </c>
    </row>
    <row r="5" spans="1:7">
      <c r="A5" s="65" t="s">
        <v>2218</v>
      </c>
      <c r="B5">
        <v>44</v>
      </c>
    </row>
    <row r="6" spans="1:7">
      <c r="A6" s="65" t="s">
        <v>2219</v>
      </c>
      <c r="B6">
        <v>31</v>
      </c>
    </row>
    <row r="7" spans="1:7">
      <c r="A7" s="65" t="s">
        <v>2220</v>
      </c>
      <c r="B7">
        <v>48</v>
      </c>
    </row>
    <row r="8" spans="1:7">
      <c r="A8" s="65" t="s">
        <v>2221</v>
      </c>
      <c r="B8">
        <v>10</v>
      </c>
    </row>
    <row r="9" spans="1:7">
      <c r="A9" s="65" t="s">
        <v>2222</v>
      </c>
      <c r="B9">
        <v>56</v>
      </c>
    </row>
    <row r="10" spans="1:7">
      <c r="A10" s="65" t="s">
        <v>2223</v>
      </c>
      <c r="B10">
        <v>16</v>
      </c>
    </row>
    <row r="11" spans="1:7">
      <c r="A11" s="65" t="s">
        <v>2224</v>
      </c>
      <c r="B11">
        <v>70</v>
      </c>
    </row>
    <row r="12" spans="1:7">
      <c r="A12" s="65" t="s">
        <v>2225</v>
      </c>
      <c r="B12">
        <v>31</v>
      </c>
    </row>
    <row r="13" spans="1:7">
      <c r="A13" s="65" t="s">
        <v>2226</v>
      </c>
      <c r="B13">
        <v>31</v>
      </c>
      <c r="D13" s="24" t="s">
        <v>2232</v>
      </c>
      <c r="E13" t="s">
        <v>2231</v>
      </c>
    </row>
    <row r="14" spans="1:7">
      <c r="A14" s="65" t="s">
        <v>2227</v>
      </c>
      <c r="B14">
        <v>7</v>
      </c>
    </row>
    <row r="15" spans="1:7">
      <c r="A15" s="65" t="s">
        <v>2228</v>
      </c>
      <c r="B15">
        <v>24</v>
      </c>
    </row>
    <row r="16" spans="1:7" ht="25.8">
      <c r="A16" s="65" t="s">
        <v>2209</v>
      </c>
      <c r="B16">
        <v>373</v>
      </c>
      <c r="G16" s="20" t="s">
        <v>2234</v>
      </c>
    </row>
    <row r="18" spans="4:4" ht="18">
      <c r="D18" s="38" t="s">
        <v>2235</v>
      </c>
    </row>
    <row r="19" spans="4:4">
      <c r="D19" s="39"/>
    </row>
    <row r="20" spans="4:4">
      <c r="D20" s="40" t="s">
        <v>2236</v>
      </c>
    </row>
    <row r="21" spans="4:4">
      <c r="D21" s="39"/>
    </row>
    <row r="22" spans="4:4">
      <c r="D22" s="39"/>
    </row>
    <row r="23" spans="4:4">
      <c r="D23" s="46"/>
    </row>
    <row r="24" spans="4:4">
      <c r="D24" s="46" t="s">
        <v>2237</v>
      </c>
    </row>
    <row r="25" spans="4:4">
      <c r="D25" s="46"/>
    </row>
    <row r="26" spans="4:4">
      <c r="D26" s="46" t="s">
        <v>2238</v>
      </c>
    </row>
    <row r="27" spans="4:4">
      <c r="D27" s="39"/>
    </row>
    <row r="28" spans="4:4">
      <c r="D28" s="40" t="s">
        <v>2239</v>
      </c>
    </row>
    <row r="29" spans="4:4">
      <c r="D29" s="39"/>
    </row>
    <row r="30" spans="4:4">
      <c r="D30" s="39"/>
    </row>
    <row r="31" spans="4:4">
      <c r="D31" s="46"/>
    </row>
    <row r="32" spans="4:4">
      <c r="D32" s="46" t="s">
        <v>2240</v>
      </c>
    </row>
    <row r="33" spans="4:4">
      <c r="D33" s="46"/>
    </row>
    <row r="34" spans="4:4">
      <c r="D34" s="46" t="s">
        <v>2241</v>
      </c>
    </row>
    <row r="35" spans="4:4">
      <c r="D35" s="39"/>
    </row>
    <row r="36" spans="4:4">
      <c r="D36" s="40" t="s">
        <v>2242</v>
      </c>
    </row>
    <row r="37" spans="4:4">
      <c r="D37" s="39"/>
    </row>
    <row r="38" spans="4:4">
      <c r="D38" s="39"/>
    </row>
    <row r="39" spans="4:4">
      <c r="D39" s="46"/>
    </row>
    <row r="40" spans="4:4">
      <c r="D40" s="46" t="s">
        <v>2243</v>
      </c>
    </row>
    <row r="41" spans="4:4">
      <c r="D41" s="46"/>
    </row>
    <row r="42" spans="4:4">
      <c r="D42" s="46" t="s">
        <v>2244</v>
      </c>
    </row>
    <row r="43" spans="4:4">
      <c r="D43" s="46"/>
    </row>
    <row r="44" spans="4:4">
      <c r="D44" s="46" t="s">
        <v>2245</v>
      </c>
    </row>
    <row r="45" spans="4:4">
      <c r="D45" s="46"/>
    </row>
    <row r="46" spans="4:4">
      <c r="D46" s="46" t="s">
        <v>2246</v>
      </c>
    </row>
    <row r="47" spans="4:4">
      <c r="D47" s="39"/>
    </row>
    <row r="48" spans="4:4">
      <c r="D48" s="40" t="s">
        <v>2247</v>
      </c>
    </row>
    <row r="49" spans="4:4">
      <c r="D49" s="39"/>
    </row>
    <row r="50" spans="4:4">
      <c r="D50" s="39"/>
    </row>
    <row r="51" spans="4:4">
      <c r="D51" s="46"/>
    </row>
    <row r="52" spans="4:4">
      <c r="D52" s="46" t="s">
        <v>2248</v>
      </c>
    </row>
    <row r="53" spans="4:4">
      <c r="D53" s="46"/>
    </row>
    <row r="54" spans="4:4">
      <c r="D54" s="46" t="s">
        <v>2249</v>
      </c>
    </row>
    <row r="55" spans="4:4">
      <c r="D55" s="46"/>
    </row>
    <row r="56" spans="4:4">
      <c r="D56" s="46" t="s">
        <v>2250</v>
      </c>
    </row>
    <row r="57" spans="4:4">
      <c r="D57" s="39"/>
    </row>
    <row r="58" spans="4:4">
      <c r="D58" s="40" t="s">
        <v>2251</v>
      </c>
    </row>
    <row r="59" spans="4:4">
      <c r="D59" s="39"/>
    </row>
    <row r="60" spans="4:4">
      <c r="D60" s="39"/>
    </row>
    <row r="61" spans="4:4">
      <c r="D61" s="46"/>
    </row>
    <row r="62" spans="4:4">
      <c r="D62" s="46" t="s">
        <v>2252</v>
      </c>
    </row>
    <row r="63" spans="4:4">
      <c r="D63" s="46"/>
    </row>
    <row r="64" spans="4:4">
      <c r="D64" s="46" t="s">
        <v>2253</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16464-5F6A-4C2F-834E-02CD33B74B14}">
  <sheetPr codeName="Sheet27"/>
  <dimension ref="A1:E49"/>
  <sheetViews>
    <sheetView topLeftCell="A39" workbookViewId="0">
      <selection activeCell="E25" sqref="E25:F25"/>
    </sheetView>
  </sheetViews>
  <sheetFormatPr defaultRowHeight="14.4"/>
  <cols>
    <col min="1" max="1" width="10.5546875" bestFit="1" customWidth="1"/>
    <col min="2" max="2" width="14.21875" bestFit="1" customWidth="1"/>
  </cols>
  <sheetData>
    <row r="1" spans="1:5" ht="21">
      <c r="A1" s="18"/>
      <c r="B1" s="18"/>
      <c r="C1" s="18"/>
      <c r="D1" s="18" t="s">
        <v>2233</v>
      </c>
    </row>
    <row r="3" spans="1:5" ht="18">
      <c r="A3" s="64" t="s">
        <v>304</v>
      </c>
      <c r="B3" t="s">
        <v>2210</v>
      </c>
      <c r="E3" s="13" t="s">
        <v>2254</v>
      </c>
    </row>
    <row r="4" spans="1:5">
      <c r="A4" s="65" t="s">
        <v>2179</v>
      </c>
      <c r="B4">
        <v>30</v>
      </c>
    </row>
    <row r="5" spans="1:5" ht="18">
      <c r="A5" s="65" t="s">
        <v>559</v>
      </c>
      <c r="B5">
        <v>29</v>
      </c>
      <c r="D5" s="38" t="s">
        <v>2255</v>
      </c>
    </row>
    <row r="6" spans="1:5">
      <c r="A6" s="65" t="s">
        <v>547</v>
      </c>
      <c r="B6">
        <v>28</v>
      </c>
      <c r="D6" s="39"/>
    </row>
    <row r="7" spans="1:5">
      <c r="A7" s="65" t="s">
        <v>2200</v>
      </c>
      <c r="B7">
        <v>25</v>
      </c>
      <c r="D7" s="40" t="s">
        <v>2236</v>
      </c>
    </row>
    <row r="8" spans="1:5">
      <c r="A8" s="65" t="s">
        <v>550</v>
      </c>
      <c r="B8">
        <v>23</v>
      </c>
      <c r="D8" s="39"/>
    </row>
    <row r="9" spans="1:5">
      <c r="A9" s="65" t="s">
        <v>2209</v>
      </c>
      <c r="B9">
        <v>135</v>
      </c>
      <c r="D9" s="39"/>
    </row>
    <row r="10" spans="1:5">
      <c r="D10" s="46"/>
    </row>
    <row r="11" spans="1:5">
      <c r="D11" s="46" t="s">
        <v>2237</v>
      </c>
    </row>
    <row r="12" spans="1:5">
      <c r="D12" s="46"/>
    </row>
    <row r="13" spans="1:5">
      <c r="D13" s="46" t="s">
        <v>2256</v>
      </c>
    </row>
    <row r="14" spans="1:5">
      <c r="D14" s="39"/>
    </row>
    <row r="15" spans="1:5">
      <c r="D15" s="40" t="s">
        <v>2257</v>
      </c>
    </row>
    <row r="16" spans="1:5">
      <c r="D16" s="39"/>
    </row>
    <row r="17" spans="4:4">
      <c r="D17" s="39"/>
    </row>
    <row r="18" spans="4:4">
      <c r="D18" s="46"/>
    </row>
    <row r="19" spans="4:4">
      <c r="D19" s="46" t="s">
        <v>2258</v>
      </c>
    </row>
    <row r="20" spans="4:4">
      <c r="D20" s="46"/>
    </row>
    <row r="21" spans="4:4">
      <c r="D21" s="46" t="s">
        <v>2259</v>
      </c>
    </row>
    <row r="22" spans="4:4">
      <c r="D22" s="39"/>
    </row>
    <row r="23" spans="4:4">
      <c r="D23" s="40" t="s">
        <v>2260</v>
      </c>
    </row>
    <row r="24" spans="4:4">
      <c r="D24" s="39"/>
    </row>
    <row r="25" spans="4:4">
      <c r="D25" s="39"/>
    </row>
    <row r="26" spans="4:4">
      <c r="D26" s="46"/>
    </row>
    <row r="27" spans="4:4">
      <c r="D27" s="46" t="s">
        <v>2261</v>
      </c>
    </row>
    <row r="28" spans="4:4">
      <c r="D28" s="46"/>
    </row>
    <row r="29" spans="4:4">
      <c r="D29" s="46" t="s">
        <v>2262</v>
      </c>
    </row>
    <row r="30" spans="4:4">
      <c r="D30" s="46"/>
    </row>
    <row r="31" spans="4:4">
      <c r="D31" s="46" t="s">
        <v>2263</v>
      </c>
    </row>
    <row r="32" spans="4:4">
      <c r="D32" s="46"/>
    </row>
    <row r="33" spans="4:4">
      <c r="D33" s="46"/>
    </row>
    <row r="34" spans="4:4">
      <c r="D34" s="59"/>
    </row>
    <row r="35" spans="4:4">
      <c r="D35" s="59" t="s">
        <v>2264</v>
      </c>
    </row>
    <row r="36" spans="4:4">
      <c r="D36" s="59"/>
    </row>
    <row r="37" spans="4:4">
      <c r="D37" s="59" t="s">
        <v>2265</v>
      </c>
    </row>
    <row r="38" spans="4:4">
      <c r="D38" s="46"/>
    </row>
    <row r="39" spans="4:4">
      <c r="D39" s="46" t="s">
        <v>2266</v>
      </c>
    </row>
    <row r="40" spans="4:4">
      <c r="D40" s="39"/>
    </row>
    <row r="41" spans="4:4">
      <c r="D41" s="40" t="s">
        <v>2267</v>
      </c>
    </row>
    <row r="42" spans="4:4">
      <c r="D42" s="39"/>
    </row>
    <row r="43" spans="4:4">
      <c r="D43" s="39"/>
    </row>
    <row r="44" spans="4:4">
      <c r="D44" s="46"/>
    </row>
    <row r="45" spans="4:4">
      <c r="D45" s="46" t="s">
        <v>2268</v>
      </c>
    </row>
    <row r="49" spans="4:4">
      <c r="D49" t="s">
        <v>2269</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4BFA8-C3CD-4999-AE8F-39CA353C008C}">
  <sheetPr codeName="Sheet28"/>
  <dimension ref="A2:G88"/>
  <sheetViews>
    <sheetView topLeftCell="A10" workbookViewId="0">
      <selection activeCell="C52" sqref="C52"/>
    </sheetView>
  </sheetViews>
  <sheetFormatPr defaultRowHeight="14.4"/>
  <cols>
    <col min="1" max="1" width="15.88671875" bestFit="1" customWidth="1"/>
    <col min="2" max="2" width="15.5546875" bestFit="1" customWidth="1"/>
    <col min="3" max="3" width="10.33203125" bestFit="1" customWidth="1"/>
    <col min="4" max="4" width="8.5546875" bestFit="1" customWidth="1"/>
    <col min="5" max="5" width="9.109375" bestFit="1" customWidth="1"/>
    <col min="6" max="6" width="9.5546875" bestFit="1" customWidth="1"/>
    <col min="7" max="7" width="10.5546875" bestFit="1" customWidth="1"/>
  </cols>
  <sheetData>
    <row r="2" spans="1:7" ht="13.8" customHeight="1"/>
    <row r="3" spans="1:7">
      <c r="A3" s="64" t="s">
        <v>2211</v>
      </c>
      <c r="B3" s="64" t="s">
        <v>2212</v>
      </c>
    </row>
    <row r="4" spans="1:7">
      <c r="A4" s="64" t="s">
        <v>2208</v>
      </c>
      <c r="B4" t="s">
        <v>196</v>
      </c>
      <c r="C4" t="s">
        <v>180</v>
      </c>
      <c r="D4" t="s">
        <v>192</v>
      </c>
      <c r="E4" t="s">
        <v>517</v>
      </c>
      <c r="F4" t="s">
        <v>188</v>
      </c>
      <c r="G4" t="s">
        <v>2209</v>
      </c>
    </row>
    <row r="5" spans="1:7">
      <c r="A5" s="65" t="s">
        <v>405</v>
      </c>
      <c r="E5">
        <v>1</v>
      </c>
      <c r="G5">
        <v>1</v>
      </c>
    </row>
    <row r="6" spans="1:7">
      <c r="A6" s="65" t="s">
        <v>403</v>
      </c>
      <c r="B6">
        <v>1</v>
      </c>
      <c r="D6">
        <v>1</v>
      </c>
      <c r="F6">
        <v>1</v>
      </c>
      <c r="G6">
        <v>3</v>
      </c>
    </row>
    <row r="7" spans="1:7">
      <c r="A7" s="65" t="s">
        <v>2202</v>
      </c>
      <c r="B7">
        <v>1</v>
      </c>
      <c r="G7">
        <v>1</v>
      </c>
    </row>
    <row r="8" spans="1:7">
      <c r="A8" s="65" t="s">
        <v>524</v>
      </c>
      <c r="B8">
        <v>3</v>
      </c>
      <c r="C8">
        <v>2</v>
      </c>
      <c r="E8">
        <v>1</v>
      </c>
      <c r="G8">
        <v>6</v>
      </c>
    </row>
    <row r="9" spans="1:7">
      <c r="A9" s="65" t="s">
        <v>2206</v>
      </c>
      <c r="F9">
        <v>1</v>
      </c>
      <c r="G9">
        <v>1</v>
      </c>
    </row>
    <row r="10" spans="1:7">
      <c r="A10" s="65" t="s">
        <v>2194</v>
      </c>
      <c r="D10">
        <v>1</v>
      </c>
      <c r="G10">
        <v>1</v>
      </c>
    </row>
    <row r="11" spans="1:7">
      <c r="A11" s="65" t="s">
        <v>513</v>
      </c>
      <c r="B11">
        <v>3</v>
      </c>
      <c r="C11">
        <v>1</v>
      </c>
      <c r="E11">
        <v>2</v>
      </c>
      <c r="F11">
        <v>1</v>
      </c>
      <c r="G11">
        <v>7</v>
      </c>
    </row>
    <row r="12" spans="1:7">
      <c r="A12" s="65" t="s">
        <v>2164</v>
      </c>
      <c r="D12">
        <v>1</v>
      </c>
      <c r="F12">
        <v>1</v>
      </c>
      <c r="G12">
        <v>2</v>
      </c>
    </row>
    <row r="13" spans="1:7">
      <c r="A13" s="65" t="s">
        <v>511</v>
      </c>
      <c r="B13">
        <v>2</v>
      </c>
      <c r="C13">
        <v>1</v>
      </c>
      <c r="D13">
        <v>2</v>
      </c>
      <c r="E13">
        <v>1</v>
      </c>
      <c r="G13">
        <v>6</v>
      </c>
    </row>
    <row r="14" spans="1:7">
      <c r="A14" s="65" t="s">
        <v>404</v>
      </c>
      <c r="E14">
        <v>1</v>
      </c>
      <c r="G14">
        <v>1</v>
      </c>
    </row>
    <row r="15" spans="1:7">
      <c r="A15" s="65" t="s">
        <v>2178</v>
      </c>
      <c r="F15">
        <v>1</v>
      </c>
      <c r="G15">
        <v>1</v>
      </c>
    </row>
    <row r="16" spans="1:7">
      <c r="A16" s="65" t="s">
        <v>515</v>
      </c>
      <c r="B16">
        <v>1</v>
      </c>
      <c r="C16">
        <v>1</v>
      </c>
      <c r="D16">
        <v>1</v>
      </c>
      <c r="E16">
        <v>1</v>
      </c>
      <c r="F16">
        <v>4</v>
      </c>
      <c r="G16">
        <v>8</v>
      </c>
    </row>
    <row r="17" spans="1:7">
      <c r="A17" s="65" t="s">
        <v>2155</v>
      </c>
      <c r="B17">
        <v>1</v>
      </c>
      <c r="C17">
        <v>1</v>
      </c>
      <c r="G17">
        <v>2</v>
      </c>
    </row>
    <row r="18" spans="1:7">
      <c r="A18" s="65" t="s">
        <v>2159</v>
      </c>
      <c r="C18">
        <v>1</v>
      </c>
      <c r="G18">
        <v>1</v>
      </c>
    </row>
    <row r="19" spans="1:7">
      <c r="A19" s="65" t="s">
        <v>2209</v>
      </c>
      <c r="B19">
        <v>12</v>
      </c>
      <c r="C19">
        <v>7</v>
      </c>
      <c r="D19">
        <v>6</v>
      </c>
      <c r="E19">
        <v>7</v>
      </c>
      <c r="F19">
        <v>9</v>
      </c>
      <c r="G19">
        <v>41</v>
      </c>
    </row>
    <row r="22" spans="1:7" ht="25.8">
      <c r="F22" s="20" t="s">
        <v>2270</v>
      </c>
    </row>
    <row r="24" spans="1:7" ht="18">
      <c r="A24" s="38" t="s">
        <v>2271</v>
      </c>
    </row>
    <row r="25" spans="1:7">
      <c r="A25" s="39"/>
    </row>
    <row r="26" spans="1:7">
      <c r="A26" s="40" t="s">
        <v>2272</v>
      </c>
    </row>
    <row r="27" spans="1:7">
      <c r="A27" s="39"/>
    </row>
    <row r="28" spans="1:7">
      <c r="A28" s="39"/>
    </row>
    <row r="29" spans="1:7">
      <c r="A29" s="46"/>
    </row>
    <row r="30" spans="1:7">
      <c r="A30" s="46" t="s">
        <v>2273</v>
      </c>
    </row>
    <row r="31" spans="1:7">
      <c r="A31" s="46"/>
    </row>
    <row r="32" spans="1:7">
      <c r="A32" s="46"/>
    </row>
    <row r="33" spans="1:1">
      <c r="A33" s="59"/>
    </row>
    <row r="34" spans="1:1">
      <c r="A34" s="67" t="s">
        <v>505</v>
      </c>
    </row>
    <row r="35" spans="1:1">
      <c r="A35" s="59"/>
    </row>
    <row r="36" spans="1:1">
      <c r="A36" s="67" t="s">
        <v>543</v>
      </c>
    </row>
    <row r="37" spans="1:1">
      <c r="A37" s="59"/>
    </row>
    <row r="38" spans="1:1">
      <c r="A38" s="67" t="s">
        <v>2274</v>
      </c>
    </row>
    <row r="39" spans="1:1">
      <c r="A39" s="39"/>
    </row>
    <row r="40" spans="1:1">
      <c r="A40" s="40" t="s">
        <v>2275</v>
      </c>
    </row>
    <row r="41" spans="1:1">
      <c r="A41" s="39"/>
    </row>
    <row r="42" spans="1:1">
      <c r="A42" s="39"/>
    </row>
    <row r="43" spans="1:1">
      <c r="A43" s="46"/>
    </row>
    <row r="44" spans="1:1">
      <c r="A44" s="46" t="s">
        <v>2237</v>
      </c>
    </row>
    <row r="45" spans="1:1">
      <c r="A45" s="46"/>
    </row>
    <row r="46" spans="1:1">
      <c r="A46" s="46" t="s">
        <v>2276</v>
      </c>
    </row>
    <row r="47" spans="1:1">
      <c r="A47" s="46"/>
    </row>
    <row r="48" spans="1:1">
      <c r="A48" s="46" t="s">
        <v>2277</v>
      </c>
    </row>
    <row r="49" spans="1:1">
      <c r="A49" s="39"/>
    </row>
    <row r="50" spans="1:1">
      <c r="A50" s="40" t="s">
        <v>2278</v>
      </c>
    </row>
    <row r="51" spans="1:1">
      <c r="A51" s="39"/>
    </row>
    <row r="52" spans="1:1">
      <c r="A52" s="39"/>
    </row>
    <row r="53" spans="1:1">
      <c r="A53" s="46"/>
    </row>
    <row r="54" spans="1:1">
      <c r="A54" s="46" t="s">
        <v>2279</v>
      </c>
    </row>
    <row r="55" spans="1:1">
      <c r="A55" s="46"/>
    </row>
    <row r="56" spans="1:1">
      <c r="A56" s="46" t="s">
        <v>2280</v>
      </c>
    </row>
    <row r="57" spans="1:1">
      <c r="A57" s="46"/>
    </row>
    <row r="58" spans="1:1">
      <c r="A58" s="46" t="s">
        <v>2281</v>
      </c>
    </row>
    <row r="59" spans="1:1">
      <c r="A59" s="46"/>
    </row>
    <row r="60" spans="1:1">
      <c r="A60" s="46" t="s">
        <v>2282</v>
      </c>
    </row>
    <row r="61" spans="1:1">
      <c r="A61" s="39"/>
    </row>
    <row r="62" spans="1:1">
      <c r="A62" s="40" t="s">
        <v>2283</v>
      </c>
    </row>
    <row r="63" spans="1:1">
      <c r="A63" s="39"/>
    </row>
    <row r="64" spans="1:1">
      <c r="A64" s="39"/>
    </row>
    <row r="65" spans="1:1">
      <c r="A65" s="46"/>
    </row>
    <row r="66" spans="1:1">
      <c r="A66" s="46" t="s">
        <v>2284</v>
      </c>
    </row>
    <row r="67" spans="1:1">
      <c r="A67" s="39"/>
    </row>
    <row r="68" spans="1:1">
      <c r="A68" s="40" t="s">
        <v>2285</v>
      </c>
    </row>
    <row r="69" spans="1:1">
      <c r="A69" s="39"/>
    </row>
    <row r="70" spans="1:1">
      <c r="A70" s="39"/>
    </row>
    <row r="71" spans="1:1">
      <c r="A71" s="46"/>
    </row>
    <row r="72" spans="1:1">
      <c r="A72" s="46" t="s">
        <v>2243</v>
      </c>
    </row>
    <row r="73" spans="1:1">
      <c r="A73" s="46"/>
    </row>
    <row r="74" spans="1:1">
      <c r="A74" s="46" t="s">
        <v>2286</v>
      </c>
    </row>
    <row r="75" spans="1:1">
      <c r="A75" s="46"/>
    </row>
    <row r="76" spans="1:1">
      <c r="A76" s="46" t="s">
        <v>2287</v>
      </c>
    </row>
    <row r="77" spans="1:1">
      <c r="A77" s="46"/>
    </row>
    <row r="78" spans="1:1">
      <c r="A78" s="46" t="s">
        <v>2288</v>
      </c>
    </row>
    <row r="79" spans="1:1">
      <c r="A79" s="39"/>
    </row>
    <row r="80" spans="1:1">
      <c r="A80" s="40" t="s">
        <v>2289</v>
      </c>
    </row>
    <row r="81" spans="1:1">
      <c r="A81" s="39"/>
    </row>
    <row r="82" spans="1:1">
      <c r="A82" s="39"/>
    </row>
    <row r="83" spans="1:1">
      <c r="A83" s="46"/>
    </row>
    <row r="84" spans="1:1">
      <c r="A84" s="46" t="s">
        <v>2290</v>
      </c>
    </row>
    <row r="88" spans="1:1">
      <c r="A88" t="s">
        <v>2291</v>
      </c>
    </row>
  </sheetData>
  <pageMargins left="0.7" right="0.7" top="0.75" bottom="0.75" header="0.3" footer="0.3"/>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4A1FB-DF57-4F28-831D-91D78D4E59FD}">
  <sheetPr codeName="Sheet29"/>
  <dimension ref="A1:M78"/>
  <sheetViews>
    <sheetView workbookViewId="0">
      <selection activeCell="I18" sqref="I18"/>
    </sheetView>
  </sheetViews>
  <sheetFormatPr defaultRowHeight="14.4"/>
  <cols>
    <col min="1" max="1" width="14.88671875" bestFit="1" customWidth="1"/>
    <col min="2" max="2" width="15.5546875" bestFit="1" customWidth="1"/>
    <col min="3" max="3" width="5.77734375" bestFit="1" customWidth="1"/>
    <col min="4" max="4" width="5.21875" bestFit="1" customWidth="1"/>
    <col min="5" max="5" width="10.5546875" bestFit="1" customWidth="1"/>
  </cols>
  <sheetData>
    <row r="1" spans="1:5">
      <c r="A1" s="64" t="s">
        <v>543</v>
      </c>
      <c r="B1" t="s">
        <v>196</v>
      </c>
    </row>
    <row r="3" spans="1:5">
      <c r="A3" s="64" t="s">
        <v>2210</v>
      </c>
      <c r="B3" s="64" t="s">
        <v>2212</v>
      </c>
    </row>
    <row r="4" spans="1:5">
      <c r="A4" s="64" t="s">
        <v>2208</v>
      </c>
      <c r="B4" t="s">
        <v>519</v>
      </c>
      <c r="C4" t="s">
        <v>512</v>
      </c>
      <c r="D4" t="s">
        <v>510</v>
      </c>
      <c r="E4" t="s">
        <v>2209</v>
      </c>
    </row>
    <row r="5" spans="1:5">
      <c r="A5" s="65" t="s">
        <v>403</v>
      </c>
      <c r="B5">
        <v>1</v>
      </c>
      <c r="E5">
        <v>1</v>
      </c>
    </row>
    <row r="6" spans="1:5">
      <c r="A6" s="65" t="s">
        <v>2202</v>
      </c>
      <c r="D6">
        <v>7</v>
      </c>
      <c r="E6">
        <v>7</v>
      </c>
    </row>
    <row r="7" spans="1:5">
      <c r="A7" s="65" t="s">
        <v>524</v>
      </c>
      <c r="D7">
        <v>34</v>
      </c>
      <c r="E7">
        <v>34</v>
      </c>
    </row>
    <row r="8" spans="1:5">
      <c r="A8" s="65" t="s">
        <v>513</v>
      </c>
      <c r="C8">
        <v>12</v>
      </c>
      <c r="E8">
        <v>12</v>
      </c>
    </row>
    <row r="9" spans="1:5">
      <c r="A9" s="65" t="s">
        <v>511</v>
      </c>
      <c r="D9">
        <v>28</v>
      </c>
      <c r="E9">
        <v>28</v>
      </c>
    </row>
    <row r="10" spans="1:5">
      <c r="A10" s="65" t="s">
        <v>515</v>
      </c>
      <c r="C10">
        <v>2</v>
      </c>
      <c r="E10">
        <v>2</v>
      </c>
    </row>
    <row r="11" spans="1:5">
      <c r="A11" s="65" t="s">
        <v>2155</v>
      </c>
      <c r="B11">
        <v>4</v>
      </c>
      <c r="E11">
        <v>4</v>
      </c>
    </row>
    <row r="12" spans="1:5">
      <c r="A12" s="65" t="s">
        <v>2209</v>
      </c>
      <c r="B12">
        <v>5</v>
      </c>
      <c r="C12">
        <v>14</v>
      </c>
      <c r="D12">
        <v>69</v>
      </c>
      <c r="E12">
        <v>88</v>
      </c>
    </row>
    <row r="18" spans="1:13" ht="25.8">
      <c r="E18" s="20" t="s">
        <v>2292</v>
      </c>
      <c r="M18" s="13" t="s">
        <v>2305</v>
      </c>
    </row>
    <row r="20" spans="1:13" ht="18">
      <c r="A20" s="38" t="s">
        <v>2293</v>
      </c>
      <c r="J20" s="38" t="s">
        <v>2306</v>
      </c>
    </row>
    <row r="21" spans="1:13">
      <c r="A21" s="39"/>
    </row>
    <row r="22" spans="1:13">
      <c r="A22" s="40" t="s">
        <v>2272</v>
      </c>
      <c r="J22" s="24" t="s">
        <v>2307</v>
      </c>
    </row>
    <row r="23" spans="1:13">
      <c r="A23" s="39"/>
    </row>
    <row r="24" spans="1:13">
      <c r="A24" s="39"/>
      <c r="J24" s="24" t="s">
        <v>2308</v>
      </c>
    </row>
    <row r="25" spans="1:13">
      <c r="A25" s="46"/>
      <c r="J25" s="39"/>
    </row>
    <row r="26" spans="1:13">
      <c r="A26" s="46" t="s">
        <v>2294</v>
      </c>
      <c r="J26" s="39" t="s">
        <v>2309</v>
      </c>
    </row>
    <row r="27" spans="1:13">
      <c r="A27" s="46"/>
      <c r="J27" s="39"/>
    </row>
    <row r="28" spans="1:13">
      <c r="A28" s="46"/>
      <c r="J28" s="39" t="s">
        <v>2310</v>
      </c>
    </row>
    <row r="29" spans="1:13">
      <c r="A29" s="59"/>
      <c r="J29" s="39"/>
    </row>
    <row r="30" spans="1:13">
      <c r="A30" s="67" t="s">
        <v>505</v>
      </c>
      <c r="J30" s="39" t="s">
        <v>2311</v>
      </c>
    </row>
    <row r="31" spans="1:13">
      <c r="A31" s="59"/>
      <c r="J31" s="39"/>
    </row>
    <row r="32" spans="1:13">
      <c r="A32" s="67" t="s">
        <v>543</v>
      </c>
      <c r="J32" s="39"/>
    </row>
    <row r="33" spans="1:10">
      <c r="A33" s="59"/>
      <c r="J33" s="46"/>
    </row>
    <row r="34" spans="1:10">
      <c r="A34" s="67" t="s">
        <v>2295</v>
      </c>
      <c r="J34" s="46" t="s">
        <v>2312</v>
      </c>
    </row>
    <row r="35" spans="1:10">
      <c r="A35" s="39"/>
      <c r="J35" s="46"/>
    </row>
    <row r="36" spans="1:10">
      <c r="A36" s="40" t="s">
        <v>2275</v>
      </c>
      <c r="J36" s="46" t="s">
        <v>2313</v>
      </c>
    </row>
    <row r="37" spans="1:10">
      <c r="A37" s="39"/>
      <c r="J37" s="46"/>
    </row>
    <row r="38" spans="1:10">
      <c r="A38" s="39"/>
      <c r="J38" s="46" t="s">
        <v>2314</v>
      </c>
    </row>
    <row r="39" spans="1:10">
      <c r="A39" s="46"/>
      <c r="J39" s="39"/>
    </row>
    <row r="40" spans="1:10">
      <c r="A40" s="46" t="s">
        <v>2237</v>
      </c>
      <c r="J40" s="39" t="s">
        <v>2315</v>
      </c>
    </row>
    <row r="41" spans="1:10">
      <c r="A41" s="46"/>
      <c r="J41" s="39"/>
    </row>
    <row r="42" spans="1:10">
      <c r="A42" s="46" t="s">
        <v>2276</v>
      </c>
      <c r="J42" s="40" t="s">
        <v>2316</v>
      </c>
    </row>
    <row r="43" spans="1:10">
      <c r="A43" s="46"/>
    </row>
    <row r="44" spans="1:10">
      <c r="A44" s="46" t="s">
        <v>2296</v>
      </c>
    </row>
    <row r="45" spans="1:10">
      <c r="A45" s="39"/>
    </row>
    <row r="46" spans="1:10" ht="18">
      <c r="A46" s="40" t="s">
        <v>2278</v>
      </c>
      <c r="J46" s="38" t="s">
        <v>2317</v>
      </c>
    </row>
    <row r="47" spans="1:10">
      <c r="A47" s="39"/>
    </row>
    <row r="48" spans="1:10">
      <c r="A48" s="39"/>
      <c r="J48" s="24" t="s">
        <v>2318</v>
      </c>
    </row>
    <row r="49" spans="1:10">
      <c r="A49" s="46"/>
    </row>
    <row r="50" spans="1:10">
      <c r="A50" s="46" t="s">
        <v>2279</v>
      </c>
      <c r="J50" s="24" t="s">
        <v>2319</v>
      </c>
    </row>
    <row r="51" spans="1:10">
      <c r="A51" s="46"/>
      <c r="J51" s="39"/>
    </row>
    <row r="52" spans="1:10">
      <c r="A52" s="46" t="s">
        <v>2297</v>
      </c>
      <c r="J52" s="39" t="s">
        <v>2320</v>
      </c>
    </row>
    <row r="53" spans="1:10">
      <c r="A53" s="46"/>
      <c r="J53" s="39"/>
    </row>
    <row r="54" spans="1:10">
      <c r="A54" s="46" t="s">
        <v>2298</v>
      </c>
      <c r="J54" s="39" t="s">
        <v>2321</v>
      </c>
    </row>
    <row r="55" spans="1:10">
      <c r="A55" s="46"/>
      <c r="J55" s="39"/>
    </row>
    <row r="56" spans="1:10">
      <c r="A56" s="46" t="s">
        <v>2299</v>
      </c>
      <c r="J56" s="39" t="s">
        <v>2322</v>
      </c>
    </row>
    <row r="57" spans="1:10">
      <c r="A57" s="39"/>
      <c r="J57" s="39"/>
    </row>
    <row r="58" spans="1:10">
      <c r="A58" s="40" t="s">
        <v>2283</v>
      </c>
      <c r="J58" s="39" t="s">
        <v>2323</v>
      </c>
    </row>
    <row r="59" spans="1:10">
      <c r="A59" s="39"/>
      <c r="J59" s="39"/>
    </row>
    <row r="60" spans="1:10">
      <c r="A60" s="39"/>
      <c r="J60" s="39" t="s">
        <v>2324</v>
      </c>
    </row>
    <row r="61" spans="1:10">
      <c r="A61" s="46"/>
    </row>
    <row r="62" spans="1:10">
      <c r="A62" s="46" t="s">
        <v>2300</v>
      </c>
      <c r="J62" s="24" t="s">
        <v>2325</v>
      </c>
    </row>
    <row r="63" spans="1:10">
      <c r="A63" s="39"/>
      <c r="J63" s="39"/>
    </row>
    <row r="64" spans="1:10">
      <c r="A64" s="40" t="s">
        <v>2285</v>
      </c>
      <c r="J64" s="39" t="s">
        <v>2326</v>
      </c>
    </row>
    <row r="65" spans="1:10">
      <c r="A65" s="39"/>
      <c r="J65" s="39"/>
    </row>
    <row r="66" spans="1:10">
      <c r="A66" s="39"/>
      <c r="J66" s="39" t="s">
        <v>2327</v>
      </c>
    </row>
    <row r="67" spans="1:10">
      <c r="A67" s="46"/>
    </row>
    <row r="68" spans="1:10">
      <c r="A68" s="46" t="s">
        <v>2301</v>
      </c>
    </row>
    <row r="69" spans="1:10">
      <c r="A69" s="46"/>
    </row>
    <row r="70" spans="1:10">
      <c r="A70" s="46" t="s">
        <v>2286</v>
      </c>
    </row>
    <row r="71" spans="1:10">
      <c r="A71" s="46"/>
    </row>
    <row r="72" spans="1:10">
      <c r="A72" s="46" t="s">
        <v>2302</v>
      </c>
    </row>
    <row r="73" spans="1:10">
      <c r="A73" s="46"/>
    </row>
    <row r="74" spans="1:10">
      <c r="A74" s="46" t="s">
        <v>2303</v>
      </c>
    </row>
    <row r="78" spans="1:10">
      <c r="A78" t="s">
        <v>2304</v>
      </c>
    </row>
  </sheetData>
  <pageMargins left="0.7" right="0.7" top="0.75" bottom="0.75" header="0.3" footer="0.3"/>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9BF5D-6508-4451-97EF-C351C22D4B44}">
  <sheetPr codeName="Sheet30"/>
  <dimension ref="A1:F92"/>
  <sheetViews>
    <sheetView topLeftCell="A44" workbookViewId="0">
      <selection activeCell="A18" sqref="A18"/>
    </sheetView>
  </sheetViews>
  <sheetFormatPr defaultRowHeight="14.4"/>
  <cols>
    <col min="1" max="1" width="14.88671875" bestFit="1" customWidth="1"/>
    <col min="2" max="2" width="15.5546875" bestFit="1" customWidth="1"/>
    <col min="3" max="3" width="5.77734375" bestFit="1" customWidth="1"/>
    <col min="4" max="4" width="5.21875" bestFit="1" customWidth="1"/>
    <col min="5" max="6" width="10.5546875" bestFit="1" customWidth="1"/>
  </cols>
  <sheetData>
    <row r="1" spans="1:6">
      <c r="A1" s="64" t="s">
        <v>543</v>
      </c>
      <c r="B1" t="s">
        <v>196</v>
      </c>
    </row>
    <row r="3" spans="1:6">
      <c r="A3" s="64" t="s">
        <v>2210</v>
      </c>
      <c r="B3" s="64" t="s">
        <v>2212</v>
      </c>
    </row>
    <row r="4" spans="1:6">
      <c r="A4" s="64" t="s">
        <v>2208</v>
      </c>
      <c r="B4" t="s">
        <v>519</v>
      </c>
      <c r="C4" t="s">
        <v>512</v>
      </c>
      <c r="D4" t="s">
        <v>510</v>
      </c>
      <c r="E4" t="s">
        <v>2209</v>
      </c>
    </row>
    <row r="5" spans="1:6">
      <c r="A5" s="65" t="s">
        <v>403</v>
      </c>
      <c r="B5">
        <v>1</v>
      </c>
      <c r="E5">
        <v>1</v>
      </c>
    </row>
    <row r="6" spans="1:6">
      <c r="A6" s="65" t="s">
        <v>2202</v>
      </c>
      <c r="D6">
        <v>7</v>
      </c>
      <c r="E6">
        <v>7</v>
      </c>
    </row>
    <row r="7" spans="1:6">
      <c r="A7" s="65" t="s">
        <v>524</v>
      </c>
      <c r="D7">
        <v>34</v>
      </c>
      <c r="E7">
        <v>34</v>
      </c>
    </row>
    <row r="8" spans="1:6">
      <c r="A8" s="65" t="s">
        <v>513</v>
      </c>
      <c r="C8">
        <v>12</v>
      </c>
      <c r="E8">
        <v>12</v>
      </c>
    </row>
    <row r="9" spans="1:6">
      <c r="A9" s="65" t="s">
        <v>511</v>
      </c>
      <c r="D9">
        <v>28</v>
      </c>
      <c r="E9">
        <v>28</v>
      </c>
    </row>
    <row r="10" spans="1:6">
      <c r="A10" s="65" t="s">
        <v>515</v>
      </c>
      <c r="C10">
        <v>2</v>
      </c>
      <c r="E10">
        <v>2</v>
      </c>
    </row>
    <row r="11" spans="1:6">
      <c r="A11" s="65" t="s">
        <v>2155</v>
      </c>
      <c r="B11">
        <v>4</v>
      </c>
      <c r="E11">
        <v>4</v>
      </c>
    </row>
    <row r="12" spans="1:6">
      <c r="A12" s="65" t="s">
        <v>2209</v>
      </c>
      <c r="B12">
        <v>5</v>
      </c>
      <c r="C12">
        <v>14</v>
      </c>
      <c r="D12">
        <v>69</v>
      </c>
      <c r="E12">
        <v>88</v>
      </c>
    </row>
    <row r="16" spans="1:6" ht="25.8">
      <c r="F16" s="20" t="s">
        <v>2292</v>
      </c>
    </row>
    <row r="18" spans="1:1" ht="23.4">
      <c r="A18" s="56"/>
    </row>
    <row r="20" spans="1:1" ht="18">
      <c r="A20" s="38" t="s">
        <v>2272</v>
      </c>
    </row>
    <row r="22" spans="1:1">
      <c r="A22" t="s">
        <v>2328</v>
      </c>
    </row>
    <row r="23" spans="1:1">
      <c r="A23" s="39"/>
    </row>
    <row r="24" spans="1:1">
      <c r="A24" s="40" t="s">
        <v>505</v>
      </c>
    </row>
    <row r="25" spans="1:1">
      <c r="A25" s="39"/>
    </row>
    <row r="26" spans="1:1">
      <c r="A26" s="40" t="s">
        <v>543</v>
      </c>
    </row>
    <row r="27" spans="1:1">
      <c r="A27" s="39"/>
    </row>
    <row r="28" spans="1:1">
      <c r="A28" s="40" t="s">
        <v>2329</v>
      </c>
    </row>
    <row r="29" spans="1:1">
      <c r="A29" s="39"/>
    </row>
    <row r="30" spans="1:1">
      <c r="A30" s="40" t="s">
        <v>2330</v>
      </c>
    </row>
    <row r="34" spans="1:1" ht="18">
      <c r="A34" s="38" t="s">
        <v>2331</v>
      </c>
    </row>
    <row r="35" spans="1:1">
      <c r="A35" s="39"/>
    </row>
    <row r="36" spans="1:1">
      <c r="A36" s="39" t="s">
        <v>2332</v>
      </c>
    </row>
    <row r="37" spans="1:1">
      <c r="A37" s="39"/>
    </row>
    <row r="38" spans="1:1">
      <c r="A38" s="39" t="s">
        <v>2310</v>
      </c>
    </row>
    <row r="39" spans="1:1">
      <c r="A39" s="39"/>
    </row>
    <row r="40" spans="1:1">
      <c r="A40" s="39" t="s">
        <v>2333</v>
      </c>
    </row>
    <row r="44" spans="1:1" ht="18">
      <c r="A44" s="38" t="s">
        <v>2334</v>
      </c>
    </row>
    <row r="45" spans="1:1">
      <c r="A45" s="39"/>
    </row>
    <row r="46" spans="1:1">
      <c r="A46" s="39" t="s">
        <v>2335</v>
      </c>
    </row>
    <row r="47" spans="1:1">
      <c r="A47" s="39"/>
    </row>
    <row r="48" spans="1:1">
      <c r="A48" s="39" t="s">
        <v>2336</v>
      </c>
    </row>
    <row r="49" spans="1:1">
      <c r="A49" s="39"/>
    </row>
    <row r="50" spans="1:1">
      <c r="A50" s="39" t="s">
        <v>2337</v>
      </c>
    </row>
    <row r="51" spans="1:1">
      <c r="A51" s="39"/>
    </row>
    <row r="52" spans="1:1">
      <c r="A52" s="39" t="s">
        <v>2338</v>
      </c>
    </row>
    <row r="53" spans="1:1">
      <c r="A53" s="39"/>
    </row>
    <row r="54" spans="1:1">
      <c r="A54" s="39" t="s">
        <v>2339</v>
      </c>
    </row>
    <row r="55" spans="1:1">
      <c r="A55" s="39"/>
    </row>
    <row r="56" spans="1:1">
      <c r="A56" s="39"/>
    </row>
    <row r="57" spans="1:1">
      <c r="A57" s="46"/>
    </row>
    <row r="58" spans="1:1">
      <c r="A58" s="48" t="s">
        <v>2340</v>
      </c>
    </row>
    <row r="62" spans="1:1" ht="18">
      <c r="A62" s="38" t="s">
        <v>2341</v>
      </c>
    </row>
    <row r="63" spans="1:1">
      <c r="A63" s="39"/>
    </row>
    <row r="64" spans="1:1">
      <c r="A64" s="39" t="s">
        <v>2342</v>
      </c>
    </row>
    <row r="65" spans="1:1">
      <c r="A65" s="39"/>
    </row>
    <row r="66" spans="1:1">
      <c r="A66" s="39" t="s">
        <v>2343</v>
      </c>
    </row>
    <row r="67" spans="1:1">
      <c r="A67" s="39"/>
    </row>
    <row r="68" spans="1:1">
      <c r="A68" s="39" t="s">
        <v>2344</v>
      </c>
    </row>
    <row r="69" spans="1:1">
      <c r="A69" s="39"/>
    </row>
    <row r="70" spans="1:1">
      <c r="A70" s="39" t="s">
        <v>2345</v>
      </c>
    </row>
    <row r="74" spans="1:1" ht="18">
      <c r="A74" s="38" t="s">
        <v>2346</v>
      </c>
    </row>
    <row r="75" spans="1:1">
      <c r="A75" s="39"/>
    </row>
    <row r="76" spans="1:1">
      <c r="A76" s="39" t="s">
        <v>2347</v>
      </c>
    </row>
    <row r="77" spans="1:1">
      <c r="A77" s="39"/>
    </row>
    <row r="78" spans="1:1">
      <c r="A78" s="39" t="s">
        <v>2348</v>
      </c>
    </row>
    <row r="79" spans="1:1">
      <c r="A79" s="39"/>
    </row>
    <row r="80" spans="1:1">
      <c r="A80" s="39" t="s">
        <v>2349</v>
      </c>
    </row>
    <row r="81" spans="1:1">
      <c r="A81" s="39"/>
    </row>
    <row r="82" spans="1:1">
      <c r="A82" s="39" t="s">
        <v>2350</v>
      </c>
    </row>
    <row r="83" spans="1:1">
      <c r="A83" s="39"/>
    </row>
    <row r="84" spans="1:1">
      <c r="A84" s="39" t="s">
        <v>2351</v>
      </c>
    </row>
    <row r="88" spans="1:1">
      <c r="A88" t="s">
        <v>2352</v>
      </c>
    </row>
    <row r="89" spans="1:1">
      <c r="A89" s="39"/>
    </row>
    <row r="90" spans="1:1">
      <c r="A90" s="39" t="s">
        <v>2353</v>
      </c>
    </row>
    <row r="91" spans="1:1">
      <c r="A91" s="39"/>
    </row>
    <row r="92" spans="1:1">
      <c r="A92" s="39" t="s">
        <v>2354</v>
      </c>
    </row>
  </sheetData>
  <pageMargins left="0.7" right="0.7" top="0.75" bottom="0.75" header="0.3" footer="0.3"/>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E84EF-09AF-441A-ACB0-A3E84F83D70D}">
  <sheetPr codeName="Sheet31"/>
  <dimension ref="A1:G92"/>
  <sheetViews>
    <sheetView topLeftCell="A29" workbookViewId="0">
      <selection activeCell="L26" sqref="L26"/>
    </sheetView>
  </sheetViews>
  <sheetFormatPr defaultRowHeight="14.4"/>
  <cols>
    <col min="1" max="1" width="14.88671875" bestFit="1" customWidth="1"/>
    <col min="2" max="2" width="15.5546875" bestFit="1" customWidth="1"/>
    <col min="3" max="3" width="4.5546875" bestFit="1" customWidth="1"/>
    <col min="4" max="4" width="5.6640625" bestFit="1" customWidth="1"/>
    <col min="5" max="5" width="5.77734375" bestFit="1" customWidth="1"/>
    <col min="6" max="6" width="5.21875" bestFit="1" customWidth="1"/>
    <col min="7" max="7" width="10.5546875" bestFit="1" customWidth="1"/>
  </cols>
  <sheetData>
    <row r="1" spans="1:7">
      <c r="A1" s="64" t="s">
        <v>543</v>
      </c>
      <c r="B1" t="s">
        <v>192</v>
      </c>
    </row>
    <row r="3" spans="1:7">
      <c r="A3" s="64" t="s">
        <v>2210</v>
      </c>
      <c r="B3" s="64" t="s">
        <v>2212</v>
      </c>
    </row>
    <row r="4" spans="1:7">
      <c r="A4" s="64" t="s">
        <v>2208</v>
      </c>
      <c r="B4" t="s">
        <v>2165</v>
      </c>
      <c r="C4" t="s">
        <v>2160</v>
      </c>
      <c r="D4" t="s">
        <v>519</v>
      </c>
      <c r="E4" t="s">
        <v>512</v>
      </c>
      <c r="F4" t="s">
        <v>510</v>
      </c>
      <c r="G4" t="s">
        <v>2209</v>
      </c>
    </row>
    <row r="5" spans="1:7">
      <c r="A5" s="65" t="s">
        <v>403</v>
      </c>
      <c r="D5">
        <v>2</v>
      </c>
      <c r="G5">
        <v>2</v>
      </c>
    </row>
    <row r="6" spans="1:7">
      <c r="A6" s="65" t="s">
        <v>2194</v>
      </c>
      <c r="C6">
        <v>5</v>
      </c>
      <c r="G6">
        <v>5</v>
      </c>
    </row>
    <row r="7" spans="1:7">
      <c r="A7" s="65" t="s">
        <v>2164</v>
      </c>
      <c r="B7">
        <v>10</v>
      </c>
      <c r="G7">
        <v>10</v>
      </c>
    </row>
    <row r="8" spans="1:7">
      <c r="A8" s="65" t="s">
        <v>511</v>
      </c>
      <c r="F8">
        <v>17</v>
      </c>
      <c r="G8">
        <v>17</v>
      </c>
    </row>
    <row r="9" spans="1:7">
      <c r="A9" s="65" t="s">
        <v>515</v>
      </c>
      <c r="E9">
        <v>1</v>
      </c>
      <c r="G9">
        <v>1</v>
      </c>
    </row>
    <row r="10" spans="1:7">
      <c r="A10" s="65" t="s">
        <v>2209</v>
      </c>
      <c r="B10">
        <v>10</v>
      </c>
      <c r="C10">
        <v>5</v>
      </c>
      <c r="D10">
        <v>2</v>
      </c>
      <c r="E10">
        <v>1</v>
      </c>
      <c r="F10">
        <v>17</v>
      </c>
      <c r="G10">
        <v>35</v>
      </c>
    </row>
    <row r="18" spans="7:7" ht="23.4">
      <c r="G18" s="56" t="s">
        <v>2355</v>
      </c>
    </row>
    <row r="20" spans="7:7" ht="18">
      <c r="G20" s="38" t="s">
        <v>2272</v>
      </c>
    </row>
    <row r="22" spans="7:7">
      <c r="G22" t="s">
        <v>2356</v>
      </c>
    </row>
    <row r="23" spans="7:7">
      <c r="G23" s="39"/>
    </row>
    <row r="24" spans="7:7">
      <c r="G24" s="40" t="s">
        <v>505</v>
      </c>
    </row>
    <row r="25" spans="7:7">
      <c r="G25" s="39"/>
    </row>
    <row r="26" spans="7:7">
      <c r="G26" s="40" t="s">
        <v>543</v>
      </c>
    </row>
    <row r="27" spans="7:7">
      <c r="G27" s="39"/>
    </row>
    <row r="28" spans="7:7">
      <c r="G28" s="40" t="s">
        <v>2329</v>
      </c>
    </row>
    <row r="29" spans="7:7">
      <c r="G29" s="39"/>
    </row>
    <row r="30" spans="7:7">
      <c r="G30" s="40" t="s">
        <v>2357</v>
      </c>
    </row>
    <row r="34" spans="7:7" ht="18">
      <c r="G34" s="38" t="s">
        <v>2331</v>
      </c>
    </row>
    <row r="35" spans="7:7">
      <c r="G35" s="39"/>
    </row>
    <row r="36" spans="7:7">
      <c r="G36" s="39" t="s">
        <v>2332</v>
      </c>
    </row>
    <row r="37" spans="7:7">
      <c r="G37" s="39"/>
    </row>
    <row r="38" spans="7:7">
      <c r="G38" s="39" t="s">
        <v>2310</v>
      </c>
    </row>
    <row r="39" spans="7:7">
      <c r="G39" s="39"/>
    </row>
    <row r="40" spans="7:7">
      <c r="G40" s="39" t="s">
        <v>2358</v>
      </c>
    </row>
    <row r="44" spans="7:7" ht="18">
      <c r="G44" s="38" t="s">
        <v>2278</v>
      </c>
    </row>
    <row r="45" spans="7:7">
      <c r="G45" s="39"/>
    </row>
    <row r="46" spans="7:7">
      <c r="G46" s="39" t="s">
        <v>2335</v>
      </c>
    </row>
    <row r="47" spans="7:7">
      <c r="G47" s="39"/>
    </row>
    <row r="48" spans="7:7">
      <c r="G48" s="39" t="s">
        <v>2336</v>
      </c>
    </row>
    <row r="49" spans="7:7">
      <c r="G49" s="39"/>
    </row>
    <row r="50" spans="7:7">
      <c r="G50" s="39" t="s">
        <v>2337</v>
      </c>
    </row>
    <row r="51" spans="7:7">
      <c r="G51" s="39"/>
    </row>
    <row r="52" spans="7:7">
      <c r="G52" s="39" t="s">
        <v>2359</v>
      </c>
    </row>
    <row r="53" spans="7:7">
      <c r="G53" s="39"/>
    </row>
    <row r="54" spans="7:7">
      <c r="G54" s="39" t="s">
        <v>2339</v>
      </c>
    </row>
    <row r="55" spans="7:7">
      <c r="G55" s="39"/>
    </row>
    <row r="56" spans="7:7">
      <c r="G56" s="39"/>
    </row>
    <row r="57" spans="7:7">
      <c r="G57" s="46"/>
    </row>
    <row r="58" spans="7:7">
      <c r="G58" s="48" t="s">
        <v>2340</v>
      </c>
    </row>
    <row r="62" spans="7:7" ht="18">
      <c r="G62" s="38" t="s">
        <v>2341</v>
      </c>
    </row>
    <row r="63" spans="7:7">
      <c r="G63" s="39"/>
    </row>
    <row r="64" spans="7:7">
      <c r="G64" s="39" t="s">
        <v>2360</v>
      </c>
    </row>
    <row r="65" spans="7:7">
      <c r="G65" s="39"/>
    </row>
    <row r="66" spans="7:7">
      <c r="G66" s="39" t="s">
        <v>2343</v>
      </c>
    </row>
    <row r="67" spans="7:7">
      <c r="G67" s="39"/>
    </row>
    <row r="68" spans="7:7">
      <c r="G68" s="39" t="s">
        <v>2361</v>
      </c>
    </row>
    <row r="69" spans="7:7">
      <c r="G69" s="39"/>
    </row>
    <row r="70" spans="7:7">
      <c r="G70" s="39" t="s">
        <v>2362</v>
      </c>
    </row>
    <row r="74" spans="7:7" ht="18">
      <c r="G74" s="38" t="s">
        <v>2363</v>
      </c>
    </row>
    <row r="75" spans="7:7">
      <c r="G75" s="39"/>
    </row>
    <row r="76" spans="7:7">
      <c r="G76" s="39" t="s">
        <v>2364</v>
      </c>
    </row>
    <row r="77" spans="7:7">
      <c r="G77" s="39"/>
    </row>
    <row r="78" spans="7:7">
      <c r="G78" s="39" t="s">
        <v>2321</v>
      </c>
    </row>
    <row r="79" spans="7:7">
      <c r="G79" s="39"/>
    </row>
    <row r="80" spans="7:7">
      <c r="G80" s="39" t="s">
        <v>2349</v>
      </c>
    </row>
    <row r="81" spans="7:7">
      <c r="G81" s="39"/>
    </row>
    <row r="82" spans="7:7">
      <c r="G82" s="39" t="s">
        <v>2365</v>
      </c>
    </row>
    <row r="83" spans="7:7">
      <c r="G83" s="39"/>
    </row>
    <row r="84" spans="7:7">
      <c r="G84" s="39" t="s">
        <v>2366</v>
      </c>
    </row>
    <row r="88" spans="7:7">
      <c r="G88" t="s">
        <v>2367</v>
      </c>
    </row>
    <row r="89" spans="7:7">
      <c r="G89" s="39"/>
    </row>
    <row r="90" spans="7:7">
      <c r="G90" s="39" t="s">
        <v>2368</v>
      </c>
    </row>
    <row r="91" spans="7:7">
      <c r="G91" s="39"/>
    </row>
    <row r="92" spans="7:7">
      <c r="G92" s="39" t="s">
        <v>2369</v>
      </c>
    </row>
  </sheetData>
  <pageMargins left="0.7" right="0.7" top="0.75" bottom="0.75" header="0.3" footer="0.3"/>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20E4C-DEC1-4B56-8B51-B82CF331476F}">
  <sheetPr codeName="Sheet32"/>
  <dimension ref="A1:F93"/>
  <sheetViews>
    <sheetView topLeftCell="A77" workbookViewId="0">
      <selection activeCell="J26" sqref="J26"/>
    </sheetView>
  </sheetViews>
  <sheetFormatPr defaultRowHeight="14.4"/>
  <cols>
    <col min="1" max="1" width="14.88671875" bestFit="1" customWidth="1"/>
    <col min="2" max="2" width="15.5546875" bestFit="1" customWidth="1"/>
    <col min="3" max="3" width="5.6640625" bestFit="1" customWidth="1"/>
    <col min="4" max="4" width="5.77734375" bestFit="1" customWidth="1"/>
    <col min="5" max="5" width="5.21875" bestFit="1" customWidth="1"/>
    <col min="6" max="6" width="10.5546875" bestFit="1" customWidth="1"/>
  </cols>
  <sheetData>
    <row r="1" spans="1:6">
      <c r="A1" s="64" t="s">
        <v>543</v>
      </c>
      <c r="B1" t="s">
        <v>517</v>
      </c>
    </row>
    <row r="3" spans="1:6">
      <c r="A3" s="64" t="s">
        <v>2210</v>
      </c>
      <c r="B3" s="64" t="s">
        <v>2212</v>
      </c>
    </row>
    <row r="4" spans="1:6">
      <c r="A4" s="64" t="s">
        <v>2208</v>
      </c>
      <c r="B4" t="s">
        <v>2160</v>
      </c>
      <c r="C4" t="s">
        <v>519</v>
      </c>
      <c r="D4" t="s">
        <v>512</v>
      </c>
      <c r="E4" t="s">
        <v>510</v>
      </c>
      <c r="F4" t="s">
        <v>2209</v>
      </c>
    </row>
    <row r="5" spans="1:6">
      <c r="A5" s="65" t="s">
        <v>405</v>
      </c>
      <c r="B5">
        <v>20</v>
      </c>
      <c r="F5">
        <v>20</v>
      </c>
    </row>
    <row r="6" spans="1:6">
      <c r="A6" s="65" t="s">
        <v>524</v>
      </c>
      <c r="E6">
        <v>3</v>
      </c>
      <c r="F6">
        <v>3</v>
      </c>
    </row>
    <row r="7" spans="1:6">
      <c r="A7" s="65" t="s">
        <v>513</v>
      </c>
      <c r="D7">
        <v>25</v>
      </c>
      <c r="F7">
        <v>25</v>
      </c>
    </row>
    <row r="8" spans="1:6">
      <c r="A8" s="65" t="s">
        <v>511</v>
      </c>
      <c r="E8">
        <v>17</v>
      </c>
      <c r="F8">
        <v>17</v>
      </c>
    </row>
    <row r="9" spans="1:6">
      <c r="A9" s="65" t="s">
        <v>404</v>
      </c>
      <c r="C9">
        <v>25</v>
      </c>
      <c r="F9">
        <v>25</v>
      </c>
    </row>
    <row r="10" spans="1:6">
      <c r="A10" s="65" t="s">
        <v>515</v>
      </c>
      <c r="D10">
        <v>10</v>
      </c>
      <c r="F10">
        <v>10</v>
      </c>
    </row>
    <row r="11" spans="1:6">
      <c r="A11" s="65" t="s">
        <v>2209</v>
      </c>
      <c r="B11">
        <v>20</v>
      </c>
      <c r="C11">
        <v>25</v>
      </c>
      <c r="D11">
        <v>35</v>
      </c>
      <c r="E11">
        <v>20</v>
      </c>
      <c r="F11">
        <v>100</v>
      </c>
    </row>
    <row r="19" spans="6:6" ht="23.4">
      <c r="F19" s="56" t="s">
        <v>2370</v>
      </c>
    </row>
    <row r="21" spans="6:6" ht="18">
      <c r="F21" s="38" t="s">
        <v>2272</v>
      </c>
    </row>
    <row r="23" spans="6:6">
      <c r="F23" t="s">
        <v>2371</v>
      </c>
    </row>
    <row r="24" spans="6:6">
      <c r="F24" s="39"/>
    </row>
    <row r="25" spans="6:6">
      <c r="F25" s="40" t="s">
        <v>505</v>
      </c>
    </row>
    <row r="26" spans="6:6">
      <c r="F26" s="39"/>
    </row>
    <row r="27" spans="6:6">
      <c r="F27" s="40" t="s">
        <v>543</v>
      </c>
    </row>
    <row r="28" spans="6:6">
      <c r="F28" s="39"/>
    </row>
    <row r="29" spans="6:6">
      <c r="F29" s="40" t="s">
        <v>2329</v>
      </c>
    </row>
    <row r="30" spans="6:6">
      <c r="F30" s="39"/>
    </row>
    <row r="31" spans="6:6">
      <c r="F31" s="40" t="s">
        <v>2357</v>
      </c>
    </row>
    <row r="35" spans="6:6" ht="18">
      <c r="F35" s="38" t="s">
        <v>2331</v>
      </c>
    </row>
    <row r="36" spans="6:6">
      <c r="F36" s="39"/>
    </row>
    <row r="37" spans="6:6">
      <c r="F37" s="39" t="s">
        <v>2332</v>
      </c>
    </row>
    <row r="38" spans="6:6">
      <c r="F38" s="39"/>
    </row>
    <row r="39" spans="6:6">
      <c r="F39" s="39" t="s">
        <v>2310</v>
      </c>
    </row>
    <row r="40" spans="6:6">
      <c r="F40" s="39"/>
    </row>
    <row r="41" spans="6:6">
      <c r="F41" s="39" t="s">
        <v>2372</v>
      </c>
    </row>
    <row r="45" spans="6:6" ht="18">
      <c r="F45" s="38" t="s">
        <v>2278</v>
      </c>
    </row>
    <row r="46" spans="6:6">
      <c r="F46" s="39"/>
    </row>
    <row r="47" spans="6:6">
      <c r="F47" s="39" t="s">
        <v>2335</v>
      </c>
    </row>
    <row r="48" spans="6:6">
      <c r="F48" s="39"/>
    </row>
    <row r="49" spans="6:6">
      <c r="F49" s="39" t="s">
        <v>2336</v>
      </c>
    </row>
    <row r="50" spans="6:6">
      <c r="F50" s="39"/>
    </row>
    <row r="51" spans="6:6">
      <c r="F51" s="39" t="s">
        <v>2337</v>
      </c>
    </row>
    <row r="52" spans="6:6">
      <c r="F52" s="39"/>
    </row>
    <row r="53" spans="6:6">
      <c r="F53" s="39" t="s">
        <v>2373</v>
      </c>
    </row>
    <row r="54" spans="6:6">
      <c r="F54" s="39"/>
    </row>
    <row r="55" spans="6:6">
      <c r="F55" s="39" t="s">
        <v>2374</v>
      </c>
    </row>
    <row r="56" spans="6:6">
      <c r="F56" s="39"/>
    </row>
    <row r="57" spans="6:6">
      <c r="F57" s="39"/>
    </row>
    <row r="58" spans="6:6">
      <c r="F58" s="46"/>
    </row>
    <row r="59" spans="6:6">
      <c r="F59" s="48" t="s">
        <v>2340</v>
      </c>
    </row>
    <row r="63" spans="6:6" ht="18">
      <c r="F63" s="38" t="s">
        <v>2341</v>
      </c>
    </row>
    <row r="64" spans="6:6">
      <c r="F64" s="39"/>
    </row>
    <row r="65" spans="6:6">
      <c r="F65" s="39" t="s">
        <v>2360</v>
      </c>
    </row>
    <row r="66" spans="6:6">
      <c r="F66" s="39"/>
    </row>
    <row r="67" spans="6:6">
      <c r="F67" s="39" t="s">
        <v>2343</v>
      </c>
    </row>
    <row r="68" spans="6:6">
      <c r="F68" s="39"/>
    </row>
    <row r="69" spans="6:6">
      <c r="F69" s="39" t="s">
        <v>2375</v>
      </c>
    </row>
    <row r="70" spans="6:6">
      <c r="F70" s="39"/>
    </row>
    <row r="71" spans="6:6">
      <c r="F71" s="39" t="s">
        <v>2376</v>
      </c>
    </row>
    <row r="75" spans="6:6" ht="18">
      <c r="F75" s="38" t="s">
        <v>2363</v>
      </c>
    </row>
    <row r="76" spans="6:6">
      <c r="F76" s="39"/>
    </row>
    <row r="77" spans="6:6">
      <c r="F77" s="39" t="s">
        <v>2377</v>
      </c>
    </row>
    <row r="78" spans="6:6">
      <c r="F78" s="39"/>
    </row>
    <row r="79" spans="6:6">
      <c r="F79" s="39" t="s">
        <v>2348</v>
      </c>
    </row>
    <row r="80" spans="6:6">
      <c r="F80" s="39"/>
    </row>
    <row r="81" spans="6:6">
      <c r="F81" s="39" t="s">
        <v>2349</v>
      </c>
    </row>
    <row r="82" spans="6:6">
      <c r="F82" s="39"/>
    </row>
    <row r="83" spans="6:6">
      <c r="F83" s="39" t="s">
        <v>2378</v>
      </c>
    </row>
    <row r="84" spans="6:6">
      <c r="F84" s="39"/>
    </row>
    <row r="85" spans="6:6">
      <c r="F85" s="39" t="s">
        <v>2379</v>
      </c>
    </row>
    <row r="89" spans="6:6">
      <c r="F89" t="s">
        <v>2367</v>
      </c>
    </row>
    <row r="90" spans="6:6">
      <c r="F90" s="39"/>
    </row>
    <row r="91" spans="6:6">
      <c r="F91" s="40" t="s">
        <v>2380</v>
      </c>
    </row>
    <row r="92" spans="6:6">
      <c r="F92" s="39"/>
    </row>
    <row r="93" spans="6:6">
      <c r="F93" s="39" t="s">
        <v>2381</v>
      </c>
    </row>
  </sheetData>
  <pageMargins left="0.7" right="0.7" top="0.75" bottom="0.75" header="0.3" footer="0.3"/>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B634C-5852-4AA2-B4A9-1F73AB2C4A58}">
  <sheetPr codeName="Sheet33"/>
  <dimension ref="A1:E92"/>
  <sheetViews>
    <sheetView workbookViewId="0">
      <selection activeCell="H21" sqref="H21"/>
    </sheetView>
  </sheetViews>
  <sheetFormatPr defaultRowHeight="14.4"/>
  <cols>
    <col min="1" max="1" width="15.88671875" bestFit="1" customWidth="1"/>
    <col min="2" max="2" width="15.5546875" bestFit="1" customWidth="1"/>
    <col min="3" max="3" width="5.6640625" bestFit="1" customWidth="1"/>
    <col min="4" max="4" width="5.77734375" bestFit="1" customWidth="1"/>
    <col min="5" max="5" width="10.5546875" bestFit="1" customWidth="1"/>
  </cols>
  <sheetData>
    <row r="1" spans="1:5">
      <c r="A1" s="64" t="s">
        <v>543</v>
      </c>
      <c r="B1" t="s">
        <v>188</v>
      </c>
    </row>
    <row r="3" spans="1:5">
      <c r="A3" s="64" t="s">
        <v>2210</v>
      </c>
      <c r="B3" s="64" t="s">
        <v>2212</v>
      </c>
    </row>
    <row r="4" spans="1:5">
      <c r="A4" s="64" t="s">
        <v>2208</v>
      </c>
      <c r="B4" t="s">
        <v>2165</v>
      </c>
      <c r="C4" t="s">
        <v>519</v>
      </c>
      <c r="D4" t="s">
        <v>512</v>
      </c>
      <c r="E4" t="s">
        <v>2209</v>
      </c>
    </row>
    <row r="5" spans="1:5">
      <c r="A5" s="65" t="s">
        <v>403</v>
      </c>
      <c r="C5">
        <v>6</v>
      </c>
      <c r="E5">
        <v>6</v>
      </c>
    </row>
    <row r="6" spans="1:5">
      <c r="A6" s="65" t="s">
        <v>2206</v>
      </c>
      <c r="C6">
        <v>5</v>
      </c>
      <c r="E6">
        <v>5</v>
      </c>
    </row>
    <row r="7" spans="1:5">
      <c r="A7" s="65" t="s">
        <v>513</v>
      </c>
      <c r="D7">
        <v>11</v>
      </c>
      <c r="E7">
        <v>11</v>
      </c>
    </row>
    <row r="8" spans="1:5">
      <c r="A8" s="65" t="s">
        <v>2164</v>
      </c>
      <c r="B8">
        <v>15</v>
      </c>
      <c r="E8">
        <v>15</v>
      </c>
    </row>
    <row r="9" spans="1:5">
      <c r="A9" s="65" t="s">
        <v>2178</v>
      </c>
      <c r="C9">
        <v>30</v>
      </c>
      <c r="E9">
        <v>30</v>
      </c>
    </row>
    <row r="10" spans="1:5">
      <c r="A10" s="65" t="s">
        <v>515</v>
      </c>
      <c r="D10">
        <v>34</v>
      </c>
      <c r="E10">
        <v>34</v>
      </c>
    </row>
    <row r="11" spans="1:5">
      <c r="A11" s="65" t="s">
        <v>2209</v>
      </c>
      <c r="B11">
        <v>15</v>
      </c>
      <c r="C11">
        <v>41</v>
      </c>
      <c r="D11">
        <v>45</v>
      </c>
      <c r="E11">
        <v>101</v>
      </c>
    </row>
    <row r="18" spans="5:5" ht="23.4">
      <c r="E18" s="56" t="s">
        <v>2382</v>
      </c>
    </row>
    <row r="20" spans="5:5" ht="18">
      <c r="E20" s="38" t="s">
        <v>2272</v>
      </c>
    </row>
    <row r="22" spans="5:5">
      <c r="E22" t="s">
        <v>2356</v>
      </c>
    </row>
    <row r="23" spans="5:5">
      <c r="E23" s="39"/>
    </row>
    <row r="24" spans="5:5">
      <c r="E24" s="40" t="s">
        <v>505</v>
      </c>
    </row>
    <row r="25" spans="5:5">
      <c r="E25" s="39"/>
    </row>
    <row r="26" spans="5:5">
      <c r="E26" s="40" t="s">
        <v>543</v>
      </c>
    </row>
    <row r="27" spans="5:5">
      <c r="E27" s="39"/>
    </row>
    <row r="28" spans="5:5">
      <c r="E28" s="40" t="s">
        <v>2329</v>
      </c>
    </row>
    <row r="29" spans="5:5">
      <c r="E29" s="39"/>
    </row>
    <row r="30" spans="5:5">
      <c r="E30" s="40" t="s">
        <v>2383</v>
      </c>
    </row>
    <row r="34" spans="5:5" ht="18">
      <c r="E34" s="38" t="s">
        <v>2331</v>
      </c>
    </row>
    <row r="35" spans="5:5">
      <c r="E35" s="39"/>
    </row>
    <row r="36" spans="5:5">
      <c r="E36" s="39" t="s">
        <v>2332</v>
      </c>
    </row>
    <row r="37" spans="5:5">
      <c r="E37" s="39"/>
    </row>
    <row r="38" spans="5:5">
      <c r="E38" s="39" t="s">
        <v>2310</v>
      </c>
    </row>
    <row r="39" spans="5:5">
      <c r="E39" s="39"/>
    </row>
    <row r="40" spans="5:5">
      <c r="E40" s="39" t="s">
        <v>2384</v>
      </c>
    </row>
    <row r="44" spans="5:5" ht="18">
      <c r="E44" s="38" t="s">
        <v>2278</v>
      </c>
    </row>
    <row r="45" spans="5:5">
      <c r="E45" s="39"/>
    </row>
    <row r="46" spans="5:5">
      <c r="E46" s="39" t="s">
        <v>2335</v>
      </c>
    </row>
    <row r="47" spans="5:5">
      <c r="E47" s="39"/>
    </row>
    <row r="48" spans="5:5">
      <c r="E48" s="39" t="s">
        <v>2336</v>
      </c>
    </row>
    <row r="49" spans="5:5">
      <c r="E49" s="39"/>
    </row>
    <row r="50" spans="5:5">
      <c r="E50" s="39" t="s">
        <v>2337</v>
      </c>
    </row>
    <row r="51" spans="5:5">
      <c r="E51" s="39"/>
    </row>
    <row r="52" spans="5:5">
      <c r="E52" s="39" t="s">
        <v>2385</v>
      </c>
    </row>
    <row r="53" spans="5:5">
      <c r="E53" s="39"/>
    </row>
    <row r="54" spans="5:5">
      <c r="E54" s="39" t="s">
        <v>2374</v>
      </c>
    </row>
    <row r="55" spans="5:5">
      <c r="E55" s="39"/>
    </row>
    <row r="56" spans="5:5">
      <c r="E56" s="39"/>
    </row>
    <row r="57" spans="5:5">
      <c r="E57" s="46"/>
    </row>
    <row r="58" spans="5:5">
      <c r="E58" s="48" t="s">
        <v>2340</v>
      </c>
    </row>
    <row r="62" spans="5:5" ht="18">
      <c r="E62" s="38" t="s">
        <v>2341</v>
      </c>
    </row>
    <row r="63" spans="5:5">
      <c r="E63" s="39"/>
    </row>
    <row r="64" spans="5:5">
      <c r="E64" s="39" t="s">
        <v>2386</v>
      </c>
    </row>
    <row r="65" spans="5:5">
      <c r="E65" s="39"/>
    </row>
    <row r="66" spans="5:5">
      <c r="E66" s="39" t="s">
        <v>2343</v>
      </c>
    </row>
    <row r="67" spans="5:5">
      <c r="E67" s="39"/>
    </row>
    <row r="68" spans="5:5">
      <c r="E68" s="39" t="s">
        <v>2387</v>
      </c>
    </row>
    <row r="69" spans="5:5">
      <c r="E69" s="39"/>
    </row>
    <row r="70" spans="5:5">
      <c r="E70" s="39" t="s">
        <v>2388</v>
      </c>
    </row>
    <row r="74" spans="5:5" ht="18">
      <c r="E74" s="38" t="s">
        <v>2363</v>
      </c>
    </row>
    <row r="75" spans="5:5">
      <c r="E75" s="39"/>
    </row>
    <row r="76" spans="5:5">
      <c r="E76" s="39" t="s">
        <v>2389</v>
      </c>
    </row>
    <row r="77" spans="5:5">
      <c r="E77" s="39"/>
    </row>
    <row r="78" spans="5:5">
      <c r="E78" s="39" t="s">
        <v>2390</v>
      </c>
    </row>
    <row r="79" spans="5:5">
      <c r="E79" s="39"/>
    </row>
    <row r="80" spans="5:5">
      <c r="E80" s="39" t="s">
        <v>2349</v>
      </c>
    </row>
    <row r="81" spans="5:5">
      <c r="E81" s="39"/>
    </row>
    <row r="82" spans="5:5">
      <c r="E82" s="39" t="s">
        <v>2391</v>
      </c>
    </row>
    <row r="83" spans="5:5">
      <c r="E83" s="39"/>
    </row>
    <row r="84" spans="5:5">
      <c r="E84" s="39" t="s">
        <v>2392</v>
      </c>
    </row>
    <row r="88" spans="5:5">
      <c r="E88" t="s">
        <v>2367</v>
      </c>
    </row>
    <row r="89" spans="5:5">
      <c r="E89" s="39"/>
    </row>
    <row r="90" spans="5:5">
      <c r="E90" s="40" t="s">
        <v>2393</v>
      </c>
    </row>
    <row r="91" spans="5:5">
      <c r="E91" s="39"/>
    </row>
    <row r="92" spans="5:5">
      <c r="E92" s="39" t="s">
        <v>2354</v>
      </c>
    </row>
  </sheetData>
  <pageMargins left="0.7" right="0.7" top="0.75" bottom="0.75" header="0.3" footer="0.3"/>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CEF56-EECF-472E-A40F-78185FADD894}">
  <sheetPr codeName="Sheet34"/>
  <dimension ref="A1:G83"/>
  <sheetViews>
    <sheetView topLeftCell="A10" workbookViewId="0">
      <selection activeCell="C62" sqref="C62"/>
    </sheetView>
  </sheetViews>
  <sheetFormatPr defaultRowHeight="14.4"/>
  <cols>
    <col min="1" max="1" width="15.88671875" bestFit="1" customWidth="1"/>
    <col min="2" max="2" width="15.5546875" bestFit="1" customWidth="1"/>
    <col min="3" max="3" width="4.5546875" bestFit="1" customWidth="1"/>
    <col min="4" max="4" width="5.6640625" bestFit="1" customWidth="1"/>
    <col min="5" max="5" width="5.77734375" bestFit="1" customWidth="1"/>
    <col min="6" max="6" width="5.21875" bestFit="1" customWidth="1"/>
    <col min="7" max="7" width="10.5546875" bestFit="1" customWidth="1"/>
  </cols>
  <sheetData>
    <row r="1" spans="1:7">
      <c r="A1" s="64" t="s">
        <v>543</v>
      </c>
      <c r="B1" t="s">
        <v>2213</v>
      </c>
    </row>
    <row r="3" spans="1:7">
      <c r="A3" s="64" t="s">
        <v>2210</v>
      </c>
      <c r="B3" s="64" t="s">
        <v>2212</v>
      </c>
    </row>
    <row r="4" spans="1:7">
      <c r="A4" s="64" t="s">
        <v>2208</v>
      </c>
      <c r="B4" t="s">
        <v>2165</v>
      </c>
      <c r="C4" t="s">
        <v>2160</v>
      </c>
      <c r="D4" t="s">
        <v>519</v>
      </c>
      <c r="E4" t="s">
        <v>512</v>
      </c>
      <c r="F4" t="s">
        <v>510</v>
      </c>
      <c r="G4" t="s">
        <v>2209</v>
      </c>
    </row>
    <row r="5" spans="1:7">
      <c r="A5" s="65" t="s">
        <v>405</v>
      </c>
      <c r="C5">
        <v>20</v>
      </c>
      <c r="G5">
        <v>20</v>
      </c>
    </row>
    <row r="6" spans="1:7">
      <c r="A6" s="65" t="s">
        <v>403</v>
      </c>
      <c r="D6">
        <v>9</v>
      </c>
      <c r="G6">
        <v>9</v>
      </c>
    </row>
    <row r="7" spans="1:7">
      <c r="A7" s="65" t="s">
        <v>2202</v>
      </c>
      <c r="F7">
        <v>7</v>
      </c>
      <c r="G7">
        <v>7</v>
      </c>
    </row>
    <row r="8" spans="1:7">
      <c r="A8" s="65" t="s">
        <v>524</v>
      </c>
      <c r="F8">
        <v>60</v>
      </c>
      <c r="G8">
        <v>60</v>
      </c>
    </row>
    <row r="9" spans="1:7">
      <c r="A9" s="65" t="s">
        <v>2206</v>
      </c>
      <c r="D9">
        <v>5</v>
      </c>
      <c r="G9">
        <v>5</v>
      </c>
    </row>
    <row r="10" spans="1:7">
      <c r="A10" s="65" t="s">
        <v>2194</v>
      </c>
      <c r="C10">
        <v>5</v>
      </c>
      <c r="G10">
        <v>5</v>
      </c>
    </row>
    <row r="11" spans="1:7">
      <c r="A11" s="65" t="s">
        <v>513</v>
      </c>
      <c r="E11">
        <v>53</v>
      </c>
      <c r="G11">
        <v>53</v>
      </c>
    </row>
    <row r="12" spans="1:7">
      <c r="A12" s="65" t="s">
        <v>2164</v>
      </c>
      <c r="B12">
        <v>25</v>
      </c>
      <c r="G12">
        <v>25</v>
      </c>
    </row>
    <row r="13" spans="1:7">
      <c r="A13" s="65" t="s">
        <v>511</v>
      </c>
      <c r="F13">
        <v>67</v>
      </c>
      <c r="G13">
        <v>67</v>
      </c>
    </row>
    <row r="14" spans="1:7">
      <c r="A14" s="65" t="s">
        <v>404</v>
      </c>
      <c r="D14">
        <v>25</v>
      </c>
      <c r="G14">
        <v>25</v>
      </c>
    </row>
    <row r="15" spans="1:7">
      <c r="A15" s="65" t="s">
        <v>2178</v>
      </c>
      <c r="D15">
        <v>30</v>
      </c>
      <c r="G15">
        <v>30</v>
      </c>
    </row>
    <row r="16" spans="1:7">
      <c r="A16" s="65" t="s">
        <v>515</v>
      </c>
      <c r="E16">
        <v>50</v>
      </c>
      <c r="G16">
        <v>50</v>
      </c>
    </row>
    <row r="17" spans="1:7">
      <c r="A17" s="65" t="s">
        <v>2155</v>
      </c>
      <c r="D17">
        <v>10</v>
      </c>
      <c r="G17">
        <v>10</v>
      </c>
    </row>
    <row r="18" spans="1:7">
      <c r="A18" s="65" t="s">
        <v>2159</v>
      </c>
      <c r="C18">
        <v>7</v>
      </c>
      <c r="G18">
        <v>7</v>
      </c>
    </row>
    <row r="19" spans="1:7">
      <c r="A19" s="65" t="s">
        <v>2209</v>
      </c>
      <c r="B19">
        <v>25</v>
      </c>
      <c r="C19">
        <v>32</v>
      </c>
      <c r="D19">
        <v>79</v>
      </c>
      <c r="E19">
        <v>103</v>
      </c>
      <c r="F19">
        <v>134</v>
      </c>
      <c r="G19">
        <v>373</v>
      </c>
    </row>
    <row r="23" spans="1:7" ht="23.4">
      <c r="G23" s="56" t="s">
        <v>2394</v>
      </c>
    </row>
    <row r="24" spans="1:7">
      <c r="G24" s="39"/>
    </row>
    <row r="25" spans="1:7">
      <c r="G25" s="40" t="s">
        <v>2395</v>
      </c>
    </row>
    <row r="26" spans="1:7">
      <c r="G26" s="39"/>
    </row>
    <row r="27" spans="1:7">
      <c r="G27" s="39" t="s">
        <v>2396</v>
      </c>
    </row>
    <row r="28" spans="1:7">
      <c r="G28" s="39"/>
    </row>
    <row r="29" spans="1:7">
      <c r="G29" s="39" t="s">
        <v>2397</v>
      </c>
    </row>
    <row r="30" spans="1:7">
      <c r="G30" s="39"/>
    </row>
    <row r="31" spans="1:7">
      <c r="G31" s="40" t="s">
        <v>2398</v>
      </c>
    </row>
    <row r="32" spans="1:7">
      <c r="G32" s="39"/>
    </row>
    <row r="33" spans="7:7">
      <c r="G33" s="39" t="s">
        <v>2399</v>
      </c>
    </row>
    <row r="34" spans="7:7">
      <c r="G34" s="39"/>
    </row>
    <row r="35" spans="7:7">
      <c r="G35" s="39" t="s">
        <v>2400</v>
      </c>
    </row>
    <row r="36" spans="7:7">
      <c r="G36" s="39"/>
    </row>
    <row r="37" spans="7:7">
      <c r="G37" s="40" t="s">
        <v>2401</v>
      </c>
    </row>
    <row r="38" spans="7:7">
      <c r="G38" s="39"/>
    </row>
    <row r="39" spans="7:7">
      <c r="G39" s="39" t="s">
        <v>2402</v>
      </c>
    </row>
    <row r="40" spans="7:7">
      <c r="G40" s="39"/>
    </row>
    <row r="41" spans="7:7">
      <c r="G41" s="40" t="s">
        <v>2403</v>
      </c>
    </row>
    <row r="42" spans="7:7">
      <c r="G42" s="39"/>
    </row>
    <row r="43" spans="7:7">
      <c r="G43" s="40" t="s">
        <v>2404</v>
      </c>
    </row>
    <row r="44" spans="7:7">
      <c r="G44" s="39"/>
    </row>
    <row r="45" spans="7:7">
      <c r="G45" s="39" t="s">
        <v>2405</v>
      </c>
    </row>
    <row r="46" spans="7:7">
      <c r="G46" s="39" t="s">
        <v>2406</v>
      </c>
    </row>
    <row r="47" spans="7:7">
      <c r="G47" s="68" t="s">
        <v>2407</v>
      </c>
    </row>
    <row r="48" spans="7:7">
      <c r="G48" s="39"/>
    </row>
    <row r="49" spans="7:7">
      <c r="G49" s="40" t="s">
        <v>2408</v>
      </c>
    </row>
    <row r="50" spans="7:7">
      <c r="G50" s="39"/>
    </row>
    <row r="51" spans="7:7">
      <c r="G51" s="40" t="s">
        <v>2409</v>
      </c>
    </row>
    <row r="52" spans="7:7">
      <c r="G52" s="39"/>
    </row>
    <row r="53" spans="7:7">
      <c r="G53" s="40" t="s">
        <v>2410</v>
      </c>
    </row>
    <row r="54" spans="7:7">
      <c r="G54" s="39"/>
    </row>
    <row r="55" spans="7:7">
      <c r="G55" s="40" t="s">
        <v>2411</v>
      </c>
    </row>
    <row r="56" spans="7:7">
      <c r="G56" s="39"/>
    </row>
    <row r="57" spans="7:7">
      <c r="G57" s="40" t="s">
        <v>2412</v>
      </c>
    </row>
    <row r="58" spans="7:7">
      <c r="G58" s="39"/>
    </row>
    <row r="59" spans="7:7">
      <c r="G59" s="39" t="s">
        <v>2413</v>
      </c>
    </row>
    <row r="60" spans="7:7">
      <c r="G60" s="39"/>
    </row>
    <row r="61" spans="7:7">
      <c r="G61" s="39"/>
    </row>
    <row r="62" spans="7:7">
      <c r="G62" s="46"/>
    </row>
    <row r="63" spans="7:7">
      <c r="G63" s="48" t="s">
        <v>2414</v>
      </c>
    </row>
    <row r="64" spans="7:7">
      <c r="G64" s="46"/>
    </row>
    <row r="65" spans="7:7">
      <c r="G65" s="48" t="s">
        <v>2415</v>
      </c>
    </row>
    <row r="66" spans="7:7">
      <c r="G66" s="46"/>
    </row>
    <row r="67" spans="7:7">
      <c r="G67" s="48" t="s">
        <v>2416</v>
      </c>
    </row>
    <row r="68" spans="7:7">
      <c r="G68" s="39"/>
    </row>
    <row r="69" spans="7:7">
      <c r="G69" s="39" t="s">
        <v>2417</v>
      </c>
    </row>
    <row r="70" spans="7:7">
      <c r="G70" s="39"/>
    </row>
    <row r="71" spans="7:7">
      <c r="G71" s="39"/>
    </row>
    <row r="72" spans="7:7">
      <c r="G72" s="46"/>
    </row>
    <row r="73" spans="7:7">
      <c r="G73" s="48" t="s">
        <v>2418</v>
      </c>
    </row>
    <row r="74" spans="7:7">
      <c r="G74" s="46"/>
    </row>
    <row r="75" spans="7:7">
      <c r="G75" s="48" t="s">
        <v>2419</v>
      </c>
    </row>
    <row r="76" spans="7:7">
      <c r="G76" s="39"/>
    </row>
    <row r="77" spans="7:7">
      <c r="G77" s="40" t="s">
        <v>2420</v>
      </c>
    </row>
    <row r="78" spans="7:7">
      <c r="G78" s="39"/>
    </row>
    <row r="79" spans="7:7">
      <c r="G79" s="40" t="s">
        <v>2421</v>
      </c>
    </row>
    <row r="80" spans="7:7">
      <c r="G80" s="39"/>
    </row>
    <row r="81" spans="7:7">
      <c r="G81" s="40" t="s">
        <v>2422</v>
      </c>
    </row>
    <row r="83" spans="7:7">
      <c r="G83" t="s">
        <v>2423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16C2C-81D1-4226-A132-B2972216A8EB}">
  <sheetPr codeName="Sheet35"/>
  <dimension ref="A1:K19"/>
  <sheetViews>
    <sheetView showGridLines="0" showRowColHeaders="0" zoomScale="85" workbookViewId="0">
      <selection activeCell="X12" sqref="X12"/>
    </sheetView>
  </sheetViews>
  <sheetFormatPr defaultRowHeight="14.4"/>
  <cols>
    <col min="1" max="1" width="14.77734375" customWidth="1"/>
    <col min="2" max="2" width="10.33203125" bestFit="1" customWidth="1"/>
    <col min="3" max="3" width="1.33203125" customWidth="1"/>
    <col min="4" max="4" width="17.109375" customWidth="1"/>
    <col min="5" max="5" width="10.6640625" customWidth="1"/>
    <col min="6" max="6" width="1.109375" customWidth="1"/>
    <col min="7" max="7" width="14.88671875" customWidth="1"/>
    <col min="8" max="8" width="15.44140625" bestFit="1" customWidth="1"/>
    <col min="9" max="9" width="1.21875" customWidth="1"/>
    <col min="10" max="10" width="17.88671875" bestFit="1" customWidth="1"/>
    <col min="11" max="11" width="23.109375" customWidth="1"/>
  </cols>
  <sheetData>
    <row r="1" spans="1:11" ht="31.8" customHeight="1">
      <c r="A1" s="71" t="b">
        <v>1</v>
      </c>
      <c r="B1" s="71"/>
      <c r="C1" s="71"/>
      <c r="D1" s="71" t="b">
        <v>1</v>
      </c>
      <c r="E1" s="71"/>
      <c r="F1" s="71"/>
      <c r="G1" s="71" t="b">
        <v>1</v>
      </c>
      <c r="H1" s="71"/>
      <c r="I1" s="71"/>
      <c r="J1" s="71" t="b">
        <v>1</v>
      </c>
      <c r="K1" s="71"/>
    </row>
    <row r="2" spans="1:11" ht="34.200000000000003" customHeight="1">
      <c r="A2" s="72"/>
      <c r="B2" s="72"/>
      <c r="C2" s="72"/>
      <c r="D2" s="72"/>
      <c r="E2" s="72"/>
      <c r="F2" s="72"/>
      <c r="G2" s="72"/>
      <c r="H2" s="72"/>
      <c r="I2" s="72"/>
      <c r="J2" s="72"/>
      <c r="K2" s="72"/>
    </row>
    <row r="3" spans="1:11">
      <c r="A3" s="64" t="s">
        <v>2425</v>
      </c>
      <c r="B3" t="s">
        <v>2517</v>
      </c>
      <c r="C3" s="71"/>
      <c r="D3" s="64" t="s">
        <v>2425</v>
      </c>
      <c r="E3" t="s">
        <v>2517</v>
      </c>
      <c r="F3" s="71"/>
      <c r="G3" s="64" t="s">
        <v>2519</v>
      </c>
      <c r="H3" t="s">
        <v>2518</v>
      </c>
      <c r="I3" s="71"/>
      <c r="J3" s="64" t="s">
        <v>2519</v>
      </c>
      <c r="K3" t="s">
        <v>2520</v>
      </c>
    </row>
    <row r="4" spans="1:11">
      <c r="A4" s="65" t="s">
        <v>2510</v>
      </c>
      <c r="B4" s="77">
        <v>426</v>
      </c>
      <c r="C4" s="71"/>
      <c r="D4" s="65" t="s">
        <v>2494</v>
      </c>
      <c r="E4" s="77">
        <v>321</v>
      </c>
      <c r="F4" s="71"/>
      <c r="G4" s="65" t="s">
        <v>2510</v>
      </c>
      <c r="H4" s="69">
        <v>0.85199999999999998</v>
      </c>
      <c r="I4" s="71"/>
      <c r="J4" s="65" t="s">
        <v>2494</v>
      </c>
      <c r="K4" s="69">
        <v>0.35799999999999998</v>
      </c>
    </row>
    <row r="5" spans="1:11">
      <c r="A5" s="65" t="s">
        <v>2494</v>
      </c>
      <c r="B5" s="77">
        <v>321</v>
      </c>
      <c r="C5" s="71"/>
      <c r="D5" s="65" t="s">
        <v>2478</v>
      </c>
      <c r="E5" s="77">
        <v>313</v>
      </c>
      <c r="F5" s="71"/>
      <c r="G5" s="65" t="s">
        <v>2494</v>
      </c>
      <c r="H5" s="69">
        <v>0.64200000000000002</v>
      </c>
      <c r="I5" s="71"/>
      <c r="J5" s="65" t="s">
        <v>2478</v>
      </c>
      <c r="K5" s="69">
        <v>0.374</v>
      </c>
    </row>
    <row r="6" spans="1:11">
      <c r="A6" s="65" t="s">
        <v>2478</v>
      </c>
      <c r="B6" s="77">
        <v>313</v>
      </c>
      <c r="C6" s="71"/>
      <c r="D6" s="65" t="s">
        <v>2470</v>
      </c>
      <c r="E6" s="77">
        <v>291</v>
      </c>
      <c r="F6" s="71"/>
      <c r="G6" s="65" t="s">
        <v>2478</v>
      </c>
      <c r="H6" s="69">
        <v>0.626</v>
      </c>
      <c r="I6" s="71"/>
      <c r="J6" s="65" t="s">
        <v>2470</v>
      </c>
      <c r="K6" s="69">
        <v>0.41799999999999998</v>
      </c>
    </row>
    <row r="7" spans="1:11">
      <c r="A7" s="65" t="s">
        <v>2470</v>
      </c>
      <c r="B7" s="77">
        <v>291</v>
      </c>
      <c r="C7" s="71"/>
      <c r="D7" s="65" t="s">
        <v>2438</v>
      </c>
      <c r="E7" s="77">
        <v>287</v>
      </c>
      <c r="F7" s="71"/>
      <c r="G7" s="65" t="s">
        <v>2470</v>
      </c>
      <c r="H7" s="69">
        <v>0.58199999999999996</v>
      </c>
      <c r="I7" s="71"/>
      <c r="J7" s="65" t="s">
        <v>2454</v>
      </c>
      <c r="K7" s="69">
        <v>0.64200000000000002</v>
      </c>
    </row>
    <row r="8" spans="1:11">
      <c r="A8" s="65" t="s">
        <v>2438</v>
      </c>
      <c r="B8" s="77">
        <v>287</v>
      </c>
      <c r="C8" s="71"/>
      <c r="D8" s="65" t="s">
        <v>2454</v>
      </c>
      <c r="E8" s="77">
        <v>179</v>
      </c>
      <c r="F8" s="71"/>
      <c r="G8" s="65" t="s">
        <v>2438</v>
      </c>
      <c r="H8" s="69">
        <v>0.57399999999999995</v>
      </c>
      <c r="I8" s="71"/>
      <c r="J8" s="65" t="s">
        <v>2438</v>
      </c>
      <c r="K8" s="69">
        <v>0.42599999999999999</v>
      </c>
    </row>
    <row r="9" spans="1:11">
      <c r="A9" s="65" t="s">
        <v>2209</v>
      </c>
      <c r="B9" s="77">
        <v>1638</v>
      </c>
      <c r="C9" s="71"/>
      <c r="D9" s="65" t="s">
        <v>2209</v>
      </c>
      <c r="E9" s="77">
        <v>1391</v>
      </c>
      <c r="F9" s="71"/>
      <c r="G9" s="65" t="s">
        <v>2209</v>
      </c>
      <c r="H9" s="69">
        <v>3.2759999999999998</v>
      </c>
      <c r="I9" s="71"/>
      <c r="J9" s="65" t="s">
        <v>2209</v>
      </c>
      <c r="K9" s="69">
        <v>2.218</v>
      </c>
    </row>
    <row r="10" spans="1:11">
      <c r="A10" s="70"/>
      <c r="B10" s="70"/>
      <c r="C10" s="70"/>
      <c r="D10" s="70"/>
      <c r="E10" s="70"/>
      <c r="F10" s="70"/>
      <c r="G10" s="70"/>
      <c r="H10" s="70"/>
      <c r="I10" s="70"/>
      <c r="J10" s="70"/>
      <c r="K10" s="70"/>
    </row>
    <row r="11" spans="1:11">
      <c r="A11" s="70"/>
      <c r="B11" s="70"/>
      <c r="C11" s="70"/>
      <c r="D11" s="70"/>
      <c r="E11" s="70"/>
      <c r="F11" s="70"/>
      <c r="G11" s="70"/>
      <c r="H11" s="70"/>
      <c r="I11" s="70"/>
      <c r="J11" s="70"/>
      <c r="K11" s="70"/>
    </row>
    <row r="12" spans="1:11">
      <c r="A12" s="70"/>
      <c r="B12" s="70"/>
      <c r="C12" s="70"/>
      <c r="D12" s="70"/>
      <c r="E12" s="70"/>
      <c r="F12" s="70"/>
      <c r="G12" s="70"/>
      <c r="H12" s="70"/>
      <c r="I12" s="70"/>
      <c r="J12" s="70"/>
      <c r="K12" s="70"/>
    </row>
    <row r="13" spans="1:11">
      <c r="A13" s="70"/>
      <c r="B13" s="70"/>
      <c r="C13" s="70"/>
      <c r="D13" s="70"/>
      <c r="E13" s="70"/>
      <c r="F13" s="70"/>
      <c r="G13" s="70"/>
      <c r="H13" s="70"/>
      <c r="I13" s="70"/>
      <c r="J13" s="70"/>
      <c r="K13" s="70"/>
    </row>
    <row r="14" spans="1:11">
      <c r="A14" s="70"/>
      <c r="B14" s="70"/>
      <c r="C14" s="70"/>
      <c r="D14" s="70"/>
      <c r="E14" s="70"/>
      <c r="F14" s="70"/>
      <c r="G14" s="70"/>
      <c r="H14" s="70"/>
      <c r="I14" s="70"/>
      <c r="J14" s="70"/>
      <c r="K14" s="70"/>
    </row>
    <row r="15" spans="1:11">
      <c r="A15" s="70"/>
      <c r="B15" s="70"/>
      <c r="C15" s="70"/>
      <c r="D15" s="70"/>
      <c r="E15" s="70"/>
      <c r="F15" s="70"/>
      <c r="G15" s="70"/>
      <c r="H15" s="70"/>
      <c r="I15" s="70"/>
      <c r="J15" s="70"/>
      <c r="K15" s="70"/>
    </row>
    <row r="16" spans="1:11">
      <c r="A16" s="70"/>
      <c r="B16" s="70"/>
      <c r="C16" s="70"/>
      <c r="D16" s="70"/>
      <c r="E16" s="70"/>
      <c r="F16" s="70"/>
      <c r="G16" s="70"/>
      <c r="H16" s="70"/>
      <c r="I16" s="70"/>
      <c r="J16" s="70"/>
      <c r="K16" s="70"/>
    </row>
    <row r="17" spans="1:11">
      <c r="A17" s="70"/>
      <c r="B17" s="70"/>
      <c r="C17" s="70"/>
      <c r="D17" s="70"/>
      <c r="E17" s="70"/>
      <c r="F17" s="70"/>
      <c r="G17" s="70"/>
      <c r="H17" s="70"/>
      <c r="I17" s="70"/>
      <c r="J17" s="70"/>
      <c r="K17" s="70"/>
    </row>
    <row r="18" spans="1:11">
      <c r="A18" s="70"/>
      <c r="B18" s="70"/>
      <c r="C18" s="70"/>
      <c r="D18" s="70"/>
      <c r="E18" s="70"/>
      <c r="F18" s="70"/>
      <c r="G18" s="70"/>
      <c r="H18" s="70"/>
      <c r="I18" s="70"/>
      <c r="J18" s="70"/>
      <c r="K18" s="70"/>
    </row>
    <row r="19" spans="1:11">
      <c r="A19" s="70"/>
      <c r="B19" s="70"/>
      <c r="C19" s="70"/>
      <c r="D19" s="70"/>
      <c r="E19" s="70"/>
      <c r="F19" s="70"/>
      <c r="G19" s="70"/>
      <c r="H19" s="70"/>
      <c r="I19" s="70"/>
      <c r="J19" s="70"/>
      <c r="K19" s="7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6865" r:id="rId7" name="Check Box 1">
              <controlPr defaultSize="0" autoFill="0" autoLine="0" autoPict="0" macro="[0]!SlicerConnections">
                <anchor moveWithCells="1">
                  <from>
                    <xdr:col>0</xdr:col>
                    <xdr:colOff>236220</xdr:colOff>
                    <xdr:row>1</xdr:row>
                    <xdr:rowOff>137160</xdr:rowOff>
                  </from>
                  <to>
                    <xdr:col>0</xdr:col>
                    <xdr:colOff>975360</xdr:colOff>
                    <xdr:row>1</xdr:row>
                    <xdr:rowOff>350520</xdr:rowOff>
                  </to>
                </anchor>
              </controlPr>
            </control>
          </mc:Choice>
        </mc:AlternateContent>
        <mc:AlternateContent xmlns:mc="http://schemas.openxmlformats.org/markup-compatibility/2006">
          <mc:Choice Requires="x14">
            <control shapeId="36866" r:id="rId8" name="Check Box 2">
              <controlPr defaultSize="0" autoFill="0" autoLine="0" autoPict="0" macro="[0]!SlicerConnections">
                <anchor moveWithCells="1">
                  <from>
                    <xdr:col>3</xdr:col>
                    <xdr:colOff>678180</xdr:colOff>
                    <xdr:row>1</xdr:row>
                    <xdr:rowOff>114300</xdr:rowOff>
                  </from>
                  <to>
                    <xdr:col>4</xdr:col>
                    <xdr:colOff>243840</xdr:colOff>
                    <xdr:row>1</xdr:row>
                    <xdr:rowOff>335280</xdr:rowOff>
                  </to>
                </anchor>
              </controlPr>
            </control>
          </mc:Choice>
        </mc:AlternateContent>
        <mc:AlternateContent xmlns:mc="http://schemas.openxmlformats.org/markup-compatibility/2006">
          <mc:Choice Requires="x14">
            <control shapeId="36868" r:id="rId9" name="Check Box 4">
              <controlPr defaultSize="0" autoFill="0" autoLine="0" autoPict="0" macro="[0]!SlicerConnections">
                <anchor moveWithCells="1">
                  <from>
                    <xdr:col>9</xdr:col>
                    <xdr:colOff>1158240</xdr:colOff>
                    <xdr:row>1</xdr:row>
                    <xdr:rowOff>144780</xdr:rowOff>
                  </from>
                  <to>
                    <xdr:col>10</xdr:col>
                    <xdr:colOff>670560</xdr:colOff>
                    <xdr:row>1</xdr:row>
                    <xdr:rowOff>358140</xdr:rowOff>
                  </to>
                </anchor>
              </controlPr>
            </control>
          </mc:Choice>
        </mc:AlternateContent>
        <mc:AlternateContent xmlns:mc="http://schemas.openxmlformats.org/markup-compatibility/2006">
          <mc:Choice Requires="x14">
            <control shapeId="36870" r:id="rId10" name="Check Box 6">
              <controlPr defaultSize="0" autoFill="0" autoLine="0" autoPict="0" macro="[0]!SlicerConnections">
                <anchor moveWithCells="1">
                  <from>
                    <xdr:col>6</xdr:col>
                    <xdr:colOff>845820</xdr:colOff>
                    <xdr:row>1</xdr:row>
                    <xdr:rowOff>129540</xdr:rowOff>
                  </from>
                  <to>
                    <xdr:col>7</xdr:col>
                    <xdr:colOff>563880</xdr:colOff>
                    <xdr:row>1</xdr:row>
                    <xdr:rowOff>342900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AADC1-AD12-4C59-86E0-74EE4D552DD2}">
  <sheetPr codeName="Sheet36"/>
  <dimension ref="A1:L42"/>
  <sheetViews>
    <sheetView tabSelected="1" topLeftCell="A21" workbookViewId="0">
      <selection activeCell="I32" sqref="I32"/>
    </sheetView>
  </sheetViews>
  <sheetFormatPr defaultRowHeight="14.4"/>
  <cols>
    <col min="1" max="1" width="13.6640625" customWidth="1"/>
    <col min="2" max="2" width="17.5546875" customWidth="1"/>
    <col min="3" max="3" width="10" customWidth="1"/>
    <col min="11" max="11" width="13.21875" customWidth="1"/>
    <col min="12" max="12" width="16.6640625" customWidth="1"/>
  </cols>
  <sheetData>
    <row r="1" spans="1:12">
      <c r="A1" t="s">
        <v>2424</v>
      </c>
      <c r="B1" t="s">
        <v>2425</v>
      </c>
      <c r="C1" t="s">
        <v>504</v>
      </c>
      <c r="D1" t="s">
        <v>2426</v>
      </c>
      <c r="E1" t="s">
        <v>2427</v>
      </c>
      <c r="F1" t="s">
        <v>2428</v>
      </c>
      <c r="G1" t="s">
        <v>2429</v>
      </c>
      <c r="H1" t="s">
        <v>2430</v>
      </c>
      <c r="I1" t="s">
        <v>2431</v>
      </c>
      <c r="J1" t="s">
        <v>2432</v>
      </c>
      <c r="K1" t="s">
        <v>2433</v>
      </c>
      <c r="L1" t="s">
        <v>2434</v>
      </c>
    </row>
    <row r="2" spans="1:12">
      <c r="A2" t="s">
        <v>2435</v>
      </c>
      <c r="B2" t="s">
        <v>2436</v>
      </c>
      <c r="C2" t="s">
        <v>382</v>
      </c>
      <c r="D2">
        <v>49</v>
      </c>
      <c r="E2">
        <v>84</v>
      </c>
      <c r="F2">
        <v>98</v>
      </c>
      <c r="G2">
        <v>67</v>
      </c>
      <c r="H2">
        <v>41</v>
      </c>
      <c r="I2">
        <v>339</v>
      </c>
      <c r="J2">
        <v>500</v>
      </c>
      <c r="K2" s="69">
        <v>0.67800000000000005</v>
      </c>
      <c r="L2" s="69">
        <v>0.32200000000000001</v>
      </c>
    </row>
    <row r="3" spans="1:12">
      <c r="A3" t="s">
        <v>2437</v>
      </c>
      <c r="B3" t="s">
        <v>2438</v>
      </c>
      <c r="C3" t="s">
        <v>403</v>
      </c>
      <c r="D3">
        <v>44</v>
      </c>
      <c r="E3">
        <v>53</v>
      </c>
      <c r="F3">
        <v>97</v>
      </c>
      <c r="G3">
        <v>45</v>
      </c>
      <c r="H3">
        <v>48</v>
      </c>
      <c r="I3">
        <v>287</v>
      </c>
      <c r="J3">
        <v>500</v>
      </c>
      <c r="K3" s="69">
        <v>0.57399999999999995</v>
      </c>
      <c r="L3" s="69">
        <v>0.42599999999999999</v>
      </c>
    </row>
    <row r="4" spans="1:12">
      <c r="A4" t="s">
        <v>2439</v>
      </c>
      <c r="B4" t="s">
        <v>2440</v>
      </c>
      <c r="C4" t="s">
        <v>521</v>
      </c>
      <c r="D4">
        <v>45</v>
      </c>
      <c r="E4">
        <v>89</v>
      </c>
      <c r="F4">
        <v>78</v>
      </c>
      <c r="G4">
        <v>73</v>
      </c>
      <c r="H4">
        <v>54</v>
      </c>
      <c r="I4">
        <v>339</v>
      </c>
      <c r="J4">
        <v>500</v>
      </c>
      <c r="K4" s="69">
        <v>0.67800000000000005</v>
      </c>
      <c r="L4" s="69">
        <v>0.32200000000000001</v>
      </c>
    </row>
    <row r="5" spans="1:12">
      <c r="A5" t="s">
        <v>2441</v>
      </c>
      <c r="B5" t="s">
        <v>2442</v>
      </c>
      <c r="C5" t="s">
        <v>516</v>
      </c>
      <c r="D5">
        <v>52</v>
      </c>
      <c r="E5">
        <v>99</v>
      </c>
      <c r="F5">
        <v>13</v>
      </c>
      <c r="G5">
        <v>92</v>
      </c>
      <c r="H5">
        <v>29</v>
      </c>
      <c r="I5">
        <v>285</v>
      </c>
      <c r="J5">
        <v>500</v>
      </c>
      <c r="K5" s="69">
        <v>0.56999999999999995</v>
      </c>
      <c r="L5" s="69">
        <v>0.43</v>
      </c>
    </row>
    <row r="6" spans="1:12">
      <c r="A6" t="s">
        <v>2443</v>
      </c>
      <c r="B6" t="s">
        <v>2444</v>
      </c>
      <c r="C6" t="s">
        <v>384</v>
      </c>
      <c r="D6">
        <v>28</v>
      </c>
      <c r="E6">
        <v>34</v>
      </c>
      <c r="F6">
        <v>98</v>
      </c>
      <c r="G6">
        <v>89</v>
      </c>
      <c r="H6">
        <v>43</v>
      </c>
      <c r="I6">
        <v>292</v>
      </c>
      <c r="J6">
        <v>500</v>
      </c>
      <c r="K6" s="69">
        <v>0.58399999999999996</v>
      </c>
      <c r="L6" s="69">
        <v>0.41599999999999998</v>
      </c>
    </row>
    <row r="7" spans="1:12">
      <c r="A7" t="s">
        <v>2445</v>
      </c>
      <c r="B7" t="s">
        <v>2446</v>
      </c>
      <c r="C7" t="s">
        <v>2171</v>
      </c>
      <c r="D7">
        <v>25</v>
      </c>
      <c r="E7">
        <v>31</v>
      </c>
      <c r="F7">
        <v>23</v>
      </c>
      <c r="G7">
        <v>47</v>
      </c>
      <c r="H7">
        <v>77</v>
      </c>
      <c r="I7">
        <v>203</v>
      </c>
      <c r="J7">
        <v>500</v>
      </c>
      <c r="K7" s="69">
        <v>0.40600000000000003</v>
      </c>
      <c r="L7" s="69">
        <v>0.59399999999999997</v>
      </c>
    </row>
    <row r="8" spans="1:12">
      <c r="A8" t="s">
        <v>2447</v>
      </c>
      <c r="B8" t="s">
        <v>2448</v>
      </c>
      <c r="C8" t="s">
        <v>2193</v>
      </c>
      <c r="D8">
        <v>84</v>
      </c>
      <c r="E8">
        <v>98</v>
      </c>
      <c r="F8">
        <v>99</v>
      </c>
      <c r="G8">
        <v>79</v>
      </c>
      <c r="H8">
        <v>9</v>
      </c>
      <c r="I8">
        <v>369</v>
      </c>
      <c r="J8">
        <v>500</v>
      </c>
      <c r="K8" s="69">
        <v>0.73799999999999999</v>
      </c>
      <c r="L8" s="69">
        <v>0.26200000000000001</v>
      </c>
    </row>
    <row r="9" spans="1:12">
      <c r="A9" t="s">
        <v>2449</v>
      </c>
      <c r="B9" t="s">
        <v>2450</v>
      </c>
      <c r="C9" t="s">
        <v>385</v>
      </c>
      <c r="D9">
        <v>39</v>
      </c>
      <c r="E9">
        <v>87</v>
      </c>
      <c r="F9">
        <v>32</v>
      </c>
      <c r="G9">
        <v>58</v>
      </c>
      <c r="H9">
        <v>80</v>
      </c>
      <c r="I9">
        <v>296</v>
      </c>
      <c r="J9">
        <v>500</v>
      </c>
      <c r="K9" s="69">
        <v>0.59199999999999997</v>
      </c>
      <c r="L9" s="69">
        <v>0.40799999999999997</v>
      </c>
    </row>
    <row r="10" spans="1:12">
      <c r="A10" t="s">
        <v>2451</v>
      </c>
      <c r="B10" t="s">
        <v>2452</v>
      </c>
      <c r="C10" t="s">
        <v>382</v>
      </c>
      <c r="D10">
        <v>24</v>
      </c>
      <c r="E10">
        <v>53</v>
      </c>
      <c r="F10">
        <v>52</v>
      </c>
      <c r="G10">
        <v>53</v>
      </c>
      <c r="H10">
        <v>53</v>
      </c>
      <c r="I10">
        <v>235</v>
      </c>
      <c r="J10">
        <v>500</v>
      </c>
      <c r="K10" s="69">
        <v>0.47</v>
      </c>
      <c r="L10" s="69">
        <v>0.53</v>
      </c>
    </row>
    <row r="11" spans="1:12">
      <c r="A11" t="s">
        <v>2453</v>
      </c>
      <c r="B11" t="s">
        <v>2454</v>
      </c>
      <c r="C11" t="s">
        <v>403</v>
      </c>
      <c r="D11">
        <v>52</v>
      </c>
      <c r="E11">
        <v>53</v>
      </c>
      <c r="F11">
        <v>13</v>
      </c>
      <c r="G11">
        <v>30</v>
      </c>
      <c r="H11">
        <v>31</v>
      </c>
      <c r="I11">
        <v>179</v>
      </c>
      <c r="J11">
        <v>500</v>
      </c>
      <c r="K11" s="69">
        <v>0.35799999999999998</v>
      </c>
      <c r="L11" s="69">
        <v>0.64200000000000002</v>
      </c>
    </row>
    <row r="12" spans="1:12">
      <c r="A12" t="s">
        <v>2455</v>
      </c>
      <c r="B12" t="s">
        <v>2456</v>
      </c>
      <c r="C12" t="s">
        <v>521</v>
      </c>
      <c r="D12">
        <v>53</v>
      </c>
      <c r="E12">
        <v>32</v>
      </c>
      <c r="F12">
        <v>7</v>
      </c>
      <c r="G12">
        <v>41</v>
      </c>
      <c r="H12">
        <v>51</v>
      </c>
      <c r="I12">
        <v>184</v>
      </c>
      <c r="J12">
        <v>500</v>
      </c>
      <c r="K12" s="69">
        <v>0.36799999999999999</v>
      </c>
      <c r="L12" s="69">
        <v>0.63200000000000001</v>
      </c>
    </row>
    <row r="13" spans="1:12">
      <c r="A13" t="s">
        <v>2457</v>
      </c>
      <c r="B13" t="s">
        <v>2458</v>
      </c>
      <c r="C13" t="s">
        <v>516</v>
      </c>
      <c r="D13">
        <v>92</v>
      </c>
      <c r="E13">
        <v>93</v>
      </c>
      <c r="F13">
        <v>89</v>
      </c>
      <c r="G13">
        <v>80</v>
      </c>
      <c r="H13">
        <v>95</v>
      </c>
      <c r="I13">
        <v>449</v>
      </c>
      <c r="J13">
        <v>500</v>
      </c>
      <c r="K13" s="69">
        <v>0.89800000000000002</v>
      </c>
      <c r="L13" s="69">
        <v>0.10199999999999999</v>
      </c>
    </row>
    <row r="14" spans="1:12">
      <c r="A14" t="s">
        <v>2459</v>
      </c>
      <c r="B14" t="s">
        <v>2460</v>
      </c>
      <c r="C14" t="s">
        <v>384</v>
      </c>
      <c r="D14">
        <v>59</v>
      </c>
      <c r="E14">
        <v>54</v>
      </c>
      <c r="F14">
        <v>64</v>
      </c>
      <c r="G14">
        <v>58</v>
      </c>
      <c r="H14">
        <v>22</v>
      </c>
      <c r="I14">
        <v>257</v>
      </c>
      <c r="J14">
        <v>500</v>
      </c>
      <c r="K14" s="69">
        <v>0.51400000000000001</v>
      </c>
      <c r="L14" s="69">
        <v>0.48599999999999999</v>
      </c>
    </row>
    <row r="15" spans="1:12">
      <c r="A15" t="s">
        <v>2461</v>
      </c>
      <c r="B15" t="s">
        <v>2462</v>
      </c>
      <c r="C15" t="s">
        <v>2171</v>
      </c>
      <c r="D15">
        <v>72</v>
      </c>
      <c r="E15">
        <v>77</v>
      </c>
      <c r="F15">
        <v>82</v>
      </c>
      <c r="G15">
        <v>90</v>
      </c>
      <c r="H15">
        <v>16</v>
      </c>
      <c r="I15">
        <v>337</v>
      </c>
      <c r="J15">
        <v>500</v>
      </c>
      <c r="K15" s="69">
        <v>0.67400000000000004</v>
      </c>
      <c r="L15" s="69">
        <v>0.32600000000000001</v>
      </c>
    </row>
    <row r="16" spans="1:12">
      <c r="A16" t="s">
        <v>2463</v>
      </c>
      <c r="B16" t="s">
        <v>2464</v>
      </c>
      <c r="C16" t="s">
        <v>2193</v>
      </c>
      <c r="D16">
        <v>44</v>
      </c>
      <c r="E16">
        <v>53</v>
      </c>
      <c r="F16">
        <v>97</v>
      </c>
      <c r="G16">
        <v>45</v>
      </c>
      <c r="H16">
        <v>48</v>
      </c>
      <c r="I16">
        <v>287</v>
      </c>
      <c r="J16">
        <v>500</v>
      </c>
      <c r="K16" s="69">
        <v>0.57399999999999995</v>
      </c>
      <c r="L16" s="69">
        <v>0.42599999999999999</v>
      </c>
    </row>
    <row r="17" spans="1:12">
      <c r="A17" t="s">
        <v>2465</v>
      </c>
      <c r="B17" t="s">
        <v>2466</v>
      </c>
      <c r="C17" t="s">
        <v>385</v>
      </c>
      <c r="D17">
        <v>14</v>
      </c>
      <c r="E17">
        <v>29</v>
      </c>
      <c r="F17">
        <v>16</v>
      </c>
      <c r="G17">
        <v>45</v>
      </c>
      <c r="H17">
        <v>45</v>
      </c>
      <c r="I17">
        <v>149</v>
      </c>
      <c r="J17">
        <v>500</v>
      </c>
      <c r="K17" s="69">
        <v>0.29799999999999999</v>
      </c>
      <c r="L17" s="69">
        <v>0.70199999999999996</v>
      </c>
    </row>
    <row r="18" spans="1:12">
      <c r="A18" t="s">
        <v>2467</v>
      </c>
      <c r="B18" t="s">
        <v>2468</v>
      </c>
      <c r="C18" t="s">
        <v>382</v>
      </c>
      <c r="D18">
        <v>42</v>
      </c>
      <c r="E18">
        <v>58</v>
      </c>
      <c r="F18">
        <v>77</v>
      </c>
      <c r="G18">
        <v>53</v>
      </c>
      <c r="H18">
        <v>31</v>
      </c>
      <c r="I18">
        <v>261</v>
      </c>
      <c r="J18">
        <v>500</v>
      </c>
      <c r="K18" s="69">
        <v>0.52200000000000002</v>
      </c>
      <c r="L18" s="69">
        <v>0.47799999999999998</v>
      </c>
    </row>
    <row r="19" spans="1:12">
      <c r="A19" t="s">
        <v>2469</v>
      </c>
      <c r="B19" t="s">
        <v>2470</v>
      </c>
      <c r="C19" t="s">
        <v>403</v>
      </c>
      <c r="D19">
        <v>11</v>
      </c>
      <c r="E19">
        <v>91</v>
      </c>
      <c r="F19">
        <v>93</v>
      </c>
      <c r="G19">
        <v>61</v>
      </c>
      <c r="H19">
        <v>35</v>
      </c>
      <c r="I19">
        <v>291</v>
      </c>
      <c r="J19">
        <v>500</v>
      </c>
      <c r="K19" s="69">
        <v>0.58199999999999996</v>
      </c>
      <c r="L19" s="69">
        <v>0.41799999999999998</v>
      </c>
    </row>
    <row r="20" spans="1:12">
      <c r="A20" t="s">
        <v>2471</v>
      </c>
      <c r="B20" t="s">
        <v>2472</v>
      </c>
      <c r="C20" t="s">
        <v>521</v>
      </c>
      <c r="D20">
        <v>19</v>
      </c>
      <c r="E20">
        <v>14</v>
      </c>
      <c r="F20">
        <v>56</v>
      </c>
      <c r="G20">
        <v>98</v>
      </c>
      <c r="H20">
        <v>66</v>
      </c>
      <c r="I20">
        <v>253</v>
      </c>
      <c r="J20">
        <v>500</v>
      </c>
      <c r="K20" s="69">
        <v>0.50600000000000001</v>
      </c>
      <c r="L20" s="69">
        <v>0.49399999999999999</v>
      </c>
    </row>
    <row r="21" spans="1:12">
      <c r="A21" t="s">
        <v>2473</v>
      </c>
      <c r="B21" t="s">
        <v>2474</v>
      </c>
      <c r="C21" t="s">
        <v>516</v>
      </c>
      <c r="D21">
        <v>93</v>
      </c>
      <c r="E21">
        <v>83</v>
      </c>
      <c r="F21">
        <v>14</v>
      </c>
      <c r="G21">
        <v>13</v>
      </c>
      <c r="H21">
        <v>48</v>
      </c>
      <c r="I21">
        <v>251</v>
      </c>
      <c r="J21">
        <v>500</v>
      </c>
      <c r="K21" s="69">
        <v>0.502</v>
      </c>
      <c r="L21" s="69">
        <v>0.498</v>
      </c>
    </row>
    <row r="22" spans="1:12">
      <c r="A22" t="s">
        <v>2475</v>
      </c>
      <c r="B22" t="s">
        <v>2476</v>
      </c>
      <c r="C22" t="s">
        <v>384</v>
      </c>
      <c r="D22">
        <v>68</v>
      </c>
      <c r="E22">
        <v>73</v>
      </c>
      <c r="F22">
        <v>74</v>
      </c>
      <c r="G22">
        <v>84</v>
      </c>
      <c r="H22">
        <v>67</v>
      </c>
      <c r="I22">
        <v>366</v>
      </c>
      <c r="J22">
        <v>500</v>
      </c>
      <c r="K22" s="69">
        <v>0.73199999999999998</v>
      </c>
      <c r="L22" s="69">
        <v>0.26800000000000002</v>
      </c>
    </row>
    <row r="23" spans="1:12">
      <c r="A23" t="s">
        <v>2477</v>
      </c>
      <c r="B23" t="s">
        <v>2478</v>
      </c>
      <c r="C23" t="s">
        <v>403</v>
      </c>
      <c r="D23">
        <v>55</v>
      </c>
      <c r="E23">
        <v>67</v>
      </c>
      <c r="F23">
        <v>89</v>
      </c>
      <c r="G23">
        <v>42</v>
      </c>
      <c r="H23">
        <v>60</v>
      </c>
      <c r="I23">
        <v>313</v>
      </c>
      <c r="J23">
        <v>500</v>
      </c>
      <c r="K23" s="69">
        <v>0.626</v>
      </c>
      <c r="L23" s="69">
        <v>0.374</v>
      </c>
    </row>
    <row r="24" spans="1:12">
      <c r="A24" t="s">
        <v>2479</v>
      </c>
      <c r="B24" t="s">
        <v>2480</v>
      </c>
      <c r="C24" t="s">
        <v>521</v>
      </c>
      <c r="D24">
        <v>78</v>
      </c>
      <c r="E24">
        <v>81</v>
      </c>
      <c r="F24">
        <v>64</v>
      </c>
      <c r="G24">
        <v>59</v>
      </c>
      <c r="H24">
        <v>70</v>
      </c>
      <c r="I24">
        <v>352</v>
      </c>
      <c r="J24">
        <v>500</v>
      </c>
      <c r="K24" s="69">
        <v>0.70399999999999996</v>
      </c>
      <c r="L24" s="69">
        <v>0.29599999999999999</v>
      </c>
    </row>
    <row r="25" spans="1:12">
      <c r="A25" t="s">
        <v>2481</v>
      </c>
      <c r="B25" t="s">
        <v>2482</v>
      </c>
      <c r="C25" t="s">
        <v>516</v>
      </c>
      <c r="D25">
        <v>33</v>
      </c>
      <c r="E25">
        <v>47</v>
      </c>
      <c r="F25">
        <v>55</v>
      </c>
      <c r="G25">
        <v>61</v>
      </c>
      <c r="H25">
        <v>45</v>
      </c>
      <c r="I25">
        <v>241</v>
      </c>
      <c r="J25">
        <v>500</v>
      </c>
      <c r="K25" s="69">
        <v>0.48199999999999998</v>
      </c>
      <c r="L25" s="69">
        <v>0.51800000000000002</v>
      </c>
    </row>
    <row r="26" spans="1:12">
      <c r="A26" t="s">
        <v>2483</v>
      </c>
      <c r="B26" t="s">
        <v>2484</v>
      </c>
      <c r="C26" t="s">
        <v>384</v>
      </c>
      <c r="D26">
        <v>91</v>
      </c>
      <c r="E26">
        <v>85</v>
      </c>
      <c r="F26">
        <v>79</v>
      </c>
      <c r="G26">
        <v>82</v>
      </c>
      <c r="H26">
        <v>68</v>
      </c>
      <c r="I26">
        <v>405</v>
      </c>
      <c r="J26">
        <v>500</v>
      </c>
      <c r="K26" s="69">
        <v>0.81</v>
      </c>
      <c r="L26" s="69">
        <v>0.19</v>
      </c>
    </row>
    <row r="27" spans="1:12">
      <c r="A27" t="s">
        <v>2485</v>
      </c>
      <c r="B27" t="s">
        <v>2486</v>
      </c>
      <c r="C27" t="s">
        <v>2171</v>
      </c>
      <c r="D27">
        <v>23</v>
      </c>
      <c r="E27">
        <v>35</v>
      </c>
      <c r="F27">
        <v>42</v>
      </c>
      <c r="G27">
        <v>39</v>
      </c>
      <c r="H27">
        <v>50</v>
      </c>
      <c r="I27">
        <v>189</v>
      </c>
      <c r="J27">
        <v>500</v>
      </c>
      <c r="K27" s="69">
        <v>0.378</v>
      </c>
      <c r="L27" s="69">
        <v>0.622</v>
      </c>
    </row>
    <row r="28" spans="1:12">
      <c r="A28" t="s">
        <v>2487</v>
      </c>
      <c r="B28" t="s">
        <v>2488</v>
      </c>
      <c r="C28" t="s">
        <v>2193</v>
      </c>
      <c r="D28">
        <v>66</v>
      </c>
      <c r="E28">
        <v>71</v>
      </c>
      <c r="F28">
        <v>54</v>
      </c>
      <c r="G28">
        <v>60</v>
      </c>
      <c r="H28">
        <v>59</v>
      </c>
      <c r="I28">
        <v>310</v>
      </c>
      <c r="J28">
        <v>500</v>
      </c>
      <c r="K28" s="69">
        <v>0.62</v>
      </c>
      <c r="L28" s="69">
        <v>0.38</v>
      </c>
    </row>
    <row r="29" spans="1:12">
      <c r="A29" t="s">
        <v>2489</v>
      </c>
      <c r="B29" t="s">
        <v>2490</v>
      </c>
      <c r="C29" t="s">
        <v>385</v>
      </c>
      <c r="D29">
        <v>48</v>
      </c>
      <c r="E29">
        <v>50</v>
      </c>
      <c r="F29">
        <v>37</v>
      </c>
      <c r="G29">
        <v>46</v>
      </c>
      <c r="H29">
        <v>44</v>
      </c>
      <c r="I29">
        <v>225</v>
      </c>
      <c r="J29">
        <v>500</v>
      </c>
      <c r="K29" s="69">
        <v>0.45</v>
      </c>
      <c r="L29" s="69">
        <v>0.55000000000000004</v>
      </c>
    </row>
    <row r="30" spans="1:12">
      <c r="A30" t="s">
        <v>2491</v>
      </c>
      <c r="B30" t="s">
        <v>2492</v>
      </c>
      <c r="C30" t="s">
        <v>382</v>
      </c>
      <c r="D30">
        <v>72</v>
      </c>
      <c r="E30">
        <v>79</v>
      </c>
      <c r="F30">
        <v>83</v>
      </c>
      <c r="G30">
        <v>65</v>
      </c>
      <c r="H30">
        <v>77</v>
      </c>
      <c r="I30">
        <v>376</v>
      </c>
      <c r="J30">
        <v>500</v>
      </c>
      <c r="K30" s="69">
        <v>0.752</v>
      </c>
      <c r="L30" s="69">
        <v>0.248</v>
      </c>
    </row>
    <row r="31" spans="1:12">
      <c r="A31" t="s">
        <v>2493</v>
      </c>
      <c r="B31" t="s">
        <v>2494</v>
      </c>
      <c r="C31" t="s">
        <v>403</v>
      </c>
      <c r="D31">
        <v>59</v>
      </c>
      <c r="E31">
        <v>61</v>
      </c>
      <c r="F31">
        <v>67</v>
      </c>
      <c r="G31">
        <v>70</v>
      </c>
      <c r="H31">
        <v>64</v>
      </c>
      <c r="I31">
        <v>321</v>
      </c>
      <c r="J31">
        <v>500</v>
      </c>
      <c r="K31" s="69">
        <v>0.64200000000000002</v>
      </c>
      <c r="L31" s="69">
        <v>0.35799999999999998</v>
      </c>
    </row>
    <row r="32" spans="1:12">
      <c r="A32" t="s">
        <v>2495</v>
      </c>
      <c r="B32" t="s">
        <v>2496</v>
      </c>
      <c r="C32" t="s">
        <v>521</v>
      </c>
      <c r="D32">
        <v>35</v>
      </c>
      <c r="E32">
        <v>42</v>
      </c>
      <c r="F32">
        <v>40</v>
      </c>
      <c r="G32">
        <v>51</v>
      </c>
      <c r="H32">
        <v>48</v>
      </c>
      <c r="I32">
        <v>216</v>
      </c>
      <c r="J32">
        <v>500</v>
      </c>
      <c r="K32" s="69">
        <v>0.432</v>
      </c>
      <c r="L32" s="69">
        <v>0.56799999999999995</v>
      </c>
    </row>
    <row r="33" spans="1:12">
      <c r="A33" t="s">
        <v>2497</v>
      </c>
      <c r="B33" t="s">
        <v>2498</v>
      </c>
      <c r="C33" t="s">
        <v>516</v>
      </c>
      <c r="D33">
        <v>81</v>
      </c>
      <c r="E33">
        <v>84</v>
      </c>
      <c r="F33">
        <v>79</v>
      </c>
      <c r="G33">
        <v>85</v>
      </c>
      <c r="H33">
        <v>80</v>
      </c>
      <c r="I33">
        <v>409</v>
      </c>
      <c r="J33">
        <v>500</v>
      </c>
      <c r="K33" s="69">
        <v>0.81799999999999995</v>
      </c>
      <c r="L33" s="69">
        <v>0.182</v>
      </c>
    </row>
    <row r="34" spans="1:12">
      <c r="A34" t="s">
        <v>2499</v>
      </c>
      <c r="B34" t="s">
        <v>2500</v>
      </c>
      <c r="C34" t="s">
        <v>384</v>
      </c>
      <c r="D34">
        <v>26</v>
      </c>
      <c r="E34">
        <v>33</v>
      </c>
      <c r="F34">
        <v>29</v>
      </c>
      <c r="G34">
        <v>31</v>
      </c>
      <c r="H34">
        <v>28</v>
      </c>
      <c r="I34">
        <v>147</v>
      </c>
      <c r="J34">
        <v>500</v>
      </c>
      <c r="K34" s="69">
        <v>0.29399999999999998</v>
      </c>
      <c r="L34" s="69">
        <v>0.70599999999999996</v>
      </c>
    </row>
    <row r="35" spans="1:12">
      <c r="A35" t="s">
        <v>2501</v>
      </c>
      <c r="B35" t="s">
        <v>2502</v>
      </c>
      <c r="C35" t="s">
        <v>2171</v>
      </c>
      <c r="D35">
        <v>64</v>
      </c>
      <c r="E35">
        <v>61</v>
      </c>
      <c r="F35">
        <v>70</v>
      </c>
      <c r="G35">
        <v>69</v>
      </c>
      <c r="H35">
        <v>73</v>
      </c>
      <c r="I35">
        <v>337</v>
      </c>
      <c r="J35">
        <v>500</v>
      </c>
      <c r="K35" s="69">
        <v>0.67400000000000004</v>
      </c>
      <c r="L35" s="69">
        <v>0.32600000000000001</v>
      </c>
    </row>
    <row r="36" spans="1:12">
      <c r="A36" t="s">
        <v>2503</v>
      </c>
      <c r="B36" t="s">
        <v>2504</v>
      </c>
      <c r="C36" t="s">
        <v>2193</v>
      </c>
      <c r="D36">
        <v>54</v>
      </c>
      <c r="E36">
        <v>59</v>
      </c>
      <c r="F36">
        <v>62</v>
      </c>
      <c r="G36">
        <v>65</v>
      </c>
      <c r="H36">
        <v>61</v>
      </c>
      <c r="I36">
        <v>301</v>
      </c>
      <c r="J36">
        <v>500</v>
      </c>
      <c r="K36" s="69">
        <v>0.60199999999999998</v>
      </c>
      <c r="L36" s="69">
        <v>0.39800000000000002</v>
      </c>
    </row>
    <row r="37" spans="1:12">
      <c r="A37" t="s">
        <v>2505</v>
      </c>
      <c r="B37" t="s">
        <v>2506</v>
      </c>
      <c r="C37" t="s">
        <v>385</v>
      </c>
      <c r="D37">
        <v>77</v>
      </c>
      <c r="E37">
        <v>75</v>
      </c>
      <c r="F37">
        <v>79</v>
      </c>
      <c r="G37">
        <v>82</v>
      </c>
      <c r="H37">
        <v>76</v>
      </c>
      <c r="I37">
        <v>389</v>
      </c>
      <c r="J37">
        <v>500</v>
      </c>
      <c r="K37" s="69">
        <v>0.77800000000000002</v>
      </c>
      <c r="L37" s="69">
        <v>0.222</v>
      </c>
    </row>
    <row r="38" spans="1:12">
      <c r="A38" t="s">
        <v>2507</v>
      </c>
      <c r="B38" t="s">
        <v>2508</v>
      </c>
      <c r="C38" t="s">
        <v>382</v>
      </c>
      <c r="D38">
        <v>29</v>
      </c>
      <c r="E38">
        <v>37</v>
      </c>
      <c r="F38">
        <v>42</v>
      </c>
      <c r="G38">
        <v>39</v>
      </c>
      <c r="H38">
        <v>36</v>
      </c>
      <c r="I38">
        <v>183</v>
      </c>
      <c r="J38">
        <v>500</v>
      </c>
      <c r="K38" s="69">
        <v>0.36599999999999999</v>
      </c>
      <c r="L38" s="69">
        <v>0.63400000000000001</v>
      </c>
    </row>
    <row r="39" spans="1:12">
      <c r="A39" t="s">
        <v>2509</v>
      </c>
      <c r="B39" t="s">
        <v>2510</v>
      </c>
      <c r="C39" t="s">
        <v>403</v>
      </c>
      <c r="D39">
        <v>83</v>
      </c>
      <c r="E39">
        <v>88</v>
      </c>
      <c r="F39">
        <v>91</v>
      </c>
      <c r="G39">
        <v>79</v>
      </c>
      <c r="H39">
        <v>85</v>
      </c>
      <c r="I39">
        <v>426</v>
      </c>
      <c r="J39">
        <v>500</v>
      </c>
      <c r="K39" s="69">
        <v>0.85199999999999998</v>
      </c>
      <c r="L39" s="69">
        <v>0.14799999999999999</v>
      </c>
    </row>
    <row r="40" spans="1:12">
      <c r="A40" t="s">
        <v>2511</v>
      </c>
      <c r="B40" t="s">
        <v>2512</v>
      </c>
      <c r="C40" t="s">
        <v>521</v>
      </c>
      <c r="D40">
        <v>50</v>
      </c>
      <c r="E40">
        <v>53</v>
      </c>
      <c r="F40">
        <v>55</v>
      </c>
      <c r="G40">
        <v>52</v>
      </c>
      <c r="H40">
        <v>54</v>
      </c>
      <c r="I40">
        <v>264</v>
      </c>
      <c r="J40">
        <v>500</v>
      </c>
      <c r="K40" s="69">
        <v>0.52800000000000002</v>
      </c>
      <c r="L40" s="69">
        <v>0.47199999999999998</v>
      </c>
    </row>
    <row r="41" spans="1:12">
      <c r="A41" t="s">
        <v>2513</v>
      </c>
      <c r="B41" t="s">
        <v>2514</v>
      </c>
      <c r="C41" t="s">
        <v>516</v>
      </c>
      <c r="D41">
        <v>45</v>
      </c>
      <c r="E41">
        <v>47</v>
      </c>
      <c r="F41">
        <v>49</v>
      </c>
      <c r="G41">
        <v>51</v>
      </c>
      <c r="H41">
        <v>53</v>
      </c>
      <c r="I41">
        <v>245</v>
      </c>
      <c r="J41">
        <v>500</v>
      </c>
      <c r="K41" s="69">
        <v>0.49</v>
      </c>
      <c r="L41" s="69">
        <v>0.51</v>
      </c>
    </row>
    <row r="42" spans="1:12">
      <c r="A42" t="s">
        <v>2515</v>
      </c>
      <c r="B42" t="s">
        <v>2516</v>
      </c>
      <c r="C42" t="s">
        <v>384</v>
      </c>
      <c r="D42">
        <v>90</v>
      </c>
      <c r="E42">
        <v>92</v>
      </c>
      <c r="F42">
        <v>94</v>
      </c>
      <c r="G42">
        <v>95</v>
      </c>
      <c r="H42">
        <v>93</v>
      </c>
      <c r="I42">
        <v>464</v>
      </c>
      <c r="J42">
        <v>500</v>
      </c>
      <c r="K42" s="69">
        <v>0.92800000000000005</v>
      </c>
      <c r="L42" s="69">
        <v>7.1999999999999995E-2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vt:i4>
      </vt:variant>
    </vt:vector>
  </HeadingPairs>
  <TitlesOfParts>
    <vt:vector size="37" baseType="lpstr">
      <vt:lpstr>Chapter 1 , 2</vt:lpstr>
      <vt:lpstr>Ch 1 , 2</vt:lpstr>
      <vt:lpstr>Remove Dublicate</vt:lpstr>
      <vt:lpstr>Removing Blank Rows</vt:lpstr>
      <vt:lpstr>Removing Space</vt:lpstr>
      <vt:lpstr>Change Case (Letter Fix)</vt:lpstr>
      <vt:lpstr>Removing Negative Value</vt:lpstr>
      <vt:lpstr>Split or Seprating Data</vt:lpstr>
      <vt:lpstr>Data Valadition</vt:lpstr>
      <vt:lpstr>Incentive Calculation</vt:lpstr>
      <vt:lpstr>Logic Function</vt:lpstr>
      <vt:lpstr>Shorting the Data</vt:lpstr>
      <vt:lpstr>Filter the Data</vt:lpstr>
      <vt:lpstr>Filter Formula And Sort</vt:lpstr>
      <vt:lpstr>V-Lookup</vt:lpstr>
      <vt:lpstr>Sheet1</vt:lpstr>
      <vt:lpstr>Vlookup2</vt:lpstr>
      <vt:lpstr>Vlookup With Match</vt:lpstr>
      <vt:lpstr>Match And Index Formula</vt:lpstr>
      <vt:lpstr>Statistical formulas</vt:lpstr>
      <vt:lpstr>Date formulas</vt:lpstr>
      <vt:lpstr>Use Of Datedif Formula</vt:lpstr>
      <vt:lpstr> USES OF TEXT AND EOMONTH FORMU</vt:lpstr>
      <vt:lpstr>Use Of NETWORKDAYS.INTL Formula</vt:lpstr>
      <vt:lpstr>Pivot Table</vt:lpstr>
      <vt:lpstr>Time Line</vt:lpstr>
      <vt:lpstr>Sheet2</vt:lpstr>
      <vt:lpstr>Sheet4</vt:lpstr>
      <vt:lpstr>Clothing</vt:lpstr>
      <vt:lpstr>Electronics</vt:lpstr>
      <vt:lpstr>Furniture</vt:lpstr>
      <vt:lpstr>Groceries</vt:lpstr>
      <vt:lpstr>Stationery</vt:lpstr>
      <vt:lpstr>Adding Slicer</vt:lpstr>
      <vt:lpstr>DASHBOARD</vt:lpstr>
      <vt:lpstr>RAW DATA</vt:lpstr>
      <vt:lpstr>emp_type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Shubham Kumar</dc:creator>
  <cp:lastModifiedBy>Shubham Kumar</cp:lastModifiedBy>
  <cp:lastPrinted>2025-07-30T10:43:00Z</cp:lastPrinted>
  <dcterms:created xsi:type="dcterms:W3CDTF">2025-07-29T16:52:03Z</dcterms:created>
  <dcterms:modified xsi:type="dcterms:W3CDTF">2026-06-19T08:07:15Z</dcterms:modified>
</cp:coreProperties>
</file>